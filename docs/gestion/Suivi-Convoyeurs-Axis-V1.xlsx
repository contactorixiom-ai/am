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Convoyages" sheetId="2" state="visible" r:id="rId2"/>
    <sheet name="Synthèse" sheetId="3" state="visible" r:id="rId3"/>
    <sheet name="Convoyeurs" sheetId="4" state="visible" r:id="rId4"/>
    <sheet name="Clients" sheetId="5" state="visible" r:id="rId5"/>
    <sheet name="Véhicules" sheetId="6" state="visible" r:id="rId6"/>
    <sheet name="Lieux" sheetId="7" state="visible" r:id="rId7"/>
    <sheet name="Paramèt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 &quot;km&quot;"/>
    <numFmt numFmtId="166" formatCode="#,##0.00 €"/>
    <numFmt numFmtId="167" formatCode="#,##0.00 €;[Red]-#,##0.00 €"/>
  </numFmts>
  <fonts count="22">
    <font>
      <name val="Calibri"/>
      <family val="2"/>
      <color theme="1"/>
      <sz val="11"/>
      <scheme val="minor"/>
    </font>
    <font>
      <name val="Arial"/>
      <b val="1"/>
      <color rgb="000B2545"/>
      <sz val="20"/>
    </font>
    <font>
      <name val="Arial"/>
      <color rgb="006B7280"/>
      <sz val="11"/>
    </font>
    <font>
      <name val="Arial"/>
      <b val="1"/>
      <color rgb="00FFFFFF"/>
      <sz val="12"/>
    </font>
    <font>
      <name val="Arial"/>
      <b val="1"/>
      <color rgb="000B2545"/>
      <sz val="10.5"/>
    </font>
    <font>
      <name val="Arial"/>
      <color rgb="001A2230"/>
      <sz val="10"/>
    </font>
    <font>
      <name val="Arial"/>
      <b val="1"/>
      <color rgb="000B2545"/>
      <sz val="10"/>
    </font>
    <font>
      <name val="Arial"/>
      <b val="1"/>
      <color rgb="008A6D2B"/>
      <sz val="10"/>
    </font>
    <font>
      <name val="Arial"/>
      <b val="1"/>
      <color rgb="000B2545"/>
      <sz val="14"/>
    </font>
    <font>
      <name val="Arial"/>
      <b val="1"/>
      <color rgb="00FFFFFF"/>
      <sz val="10"/>
    </font>
    <font>
      <name val="Arial"/>
      <b val="1"/>
      <color rgb="001A2230"/>
      <sz val="10"/>
    </font>
    <font>
      <name val="Arial"/>
      <b val="1"/>
      <color rgb="000000FF"/>
      <sz val="10"/>
    </font>
    <font>
      <name val="Arial"/>
      <color rgb="006B7280"/>
      <sz val="9"/>
    </font>
    <font>
      <name val="Arial"/>
      <color rgb="000000FF"/>
      <sz val="10"/>
    </font>
    <font>
      <name val="Arial"/>
      <b val="1"/>
      <color rgb="00FFFFFF"/>
      <sz val="11"/>
    </font>
    <font>
      <name val="Arial"/>
      <color rgb="006B7280"/>
      <sz val="10"/>
    </font>
    <font>
      <name val="Arial"/>
      <b val="1"/>
      <color rgb="000B2545"/>
      <sz val="16"/>
    </font>
    <font>
      <name val="Arial"/>
      <color rgb="006B7280"/>
      <sz val="9.5"/>
    </font>
    <font>
      <name val="Arial"/>
      <b val="1"/>
      <color rgb="00FFFFFF"/>
      <sz val="9.5"/>
    </font>
    <font>
      <name val="Arial"/>
      <b val="1"/>
      <color rgb="006B7280"/>
      <sz val="9"/>
    </font>
    <font>
      <name val="Arial"/>
      <b val="1"/>
      <color rgb="001A2230"/>
      <sz val="11"/>
    </font>
    <font>
      <name val="Arial"/>
      <b val="1"/>
      <color rgb="000000FF"/>
      <sz val="12"/>
    </font>
  </fonts>
  <fills count="9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FFF7E0"/>
      </patternFill>
    </fill>
    <fill>
      <patternFill patternType="solid">
        <fgColor rgb="00EFF3F8"/>
      </patternFill>
    </fill>
    <fill>
      <patternFill patternType="solid">
        <fgColor rgb="00FFFFFF"/>
      </patternFill>
    </fill>
    <fill>
      <patternFill patternType="solid">
        <fgColor rgb="00C9A55C"/>
      </patternFill>
    </fill>
    <fill>
      <patternFill patternType="solid">
        <fgColor rgb="0023405f"/>
      </patternFill>
    </fill>
    <fill>
      <patternFill patternType="solid">
        <fgColor rgb="00F3ECD9"/>
      </patternFill>
    </fill>
  </fills>
  <borders count="2">
    <border>
      <left/>
      <right/>
      <top/>
      <bottom/>
      <diagonal/>
    </border>
    <border>
      <left style="thin">
        <color rgb="00D8DEE7"/>
      </left>
      <right style="thin">
        <color rgb="00D8DEE7"/>
      </right>
      <top style="thin">
        <color rgb="00D8DEE7"/>
      </top>
      <bottom style="thin">
        <color rgb="00D8DEE7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3" borderId="1" pivotButton="0" quotePrefix="0" xfId="0"/>
    <xf numFmtId="0" fontId="6" fillId="4" borderId="1" pivotButton="0" quotePrefix="0" xfId="0"/>
    <xf numFmtId="0" fontId="6" fillId="5" borderId="1" pivotButton="0" quotePrefix="0" xfId="0"/>
    <xf numFmtId="0" fontId="7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2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0" borderId="0" pivotButton="0" quotePrefix="0" xfId="0"/>
    <xf numFmtId="164" fontId="5" fillId="3" borderId="1" pivotButton="0" quotePrefix="0" xfId="0"/>
    <xf numFmtId="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6" fontId="5" fillId="4" borderId="1" pivotButton="0" quotePrefix="0" xfId="0"/>
    <xf numFmtId="167" fontId="5" fillId="4" borderId="1" pivotButton="0" quotePrefix="0" xfId="0"/>
    <xf numFmtId="0" fontId="12" fillId="0" borderId="0" pivotButton="0" quotePrefix="0" xfId="0"/>
    <xf numFmtId="0" fontId="20" fillId="0" borderId="0" applyAlignment="1" pivotButton="0" quotePrefix="0" xfId="0">
      <alignment horizontal="right" vertical="center"/>
    </xf>
    <xf numFmtId="1" fontId="21" fillId="3" borderId="1" applyAlignment="1" pivotButton="0" quotePrefix="0" xfId="0">
      <alignment horizontal="center" vertical="center"/>
    </xf>
    <xf numFmtId="0" fontId="3" fillId="2" borderId="0" pivotButton="0" quotePrefix="0" xfId="0"/>
    <xf numFmtId="0" fontId="5" fillId="0" borderId="1" pivotButton="0" quotePrefix="0" xfId="0"/>
    <xf numFmtId="1" fontId="5" fillId="0" borderId="1" pivotButton="0" quotePrefix="0" xfId="0"/>
    <xf numFmtId="3" fontId="5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0" fontId="9" fillId="6" borderId="1" pivotButton="0" quotePrefix="0" xfId="0"/>
    <xf numFmtId="1" fontId="6" fillId="8" borderId="1" pivotButton="0" quotePrefix="0" xfId="0"/>
    <xf numFmtId="3" fontId="6" fillId="8" borderId="1" pivotButton="0" quotePrefix="0" xfId="0"/>
    <xf numFmtId="166" fontId="6" fillId="8" borderId="1" pivotButton="0" quotePrefix="0" xfId="0"/>
    <xf numFmtId="167" fontId="6" fillId="8" borderId="1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horizontal="left" vertical="center"/>
    </xf>
    <xf numFmtId="0" fontId="10" fillId="0" borderId="0" pivotButton="0" quotePrefix="0" xfId="0"/>
    <xf numFmtId="9" fontId="11" fillId="3" borderId="1" pivotButton="0" quotePrefix="0" xfId="0"/>
    <xf numFmtId="0" fontId="13" fillId="3" borderId="1" pivotButton="0" quotePrefix="0" xfId="0"/>
    <xf numFmtId="0" fontId="14" fillId="2" borderId="0" pivotButton="0" quotePrefix="0" xfId="0"/>
    <xf numFmtId="0" fontId="9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>
      <c r="B2" s="1" t="inlineStr">
        <is>
          <t>AXIS IMPORT — GESTION DES CONVOYAGES</t>
        </is>
      </c>
    </row>
    <row r="3"/>
    <row r="4">
      <c r="B4" s="2" t="inlineStr">
        <is>
          <t>Suivi d'activité des convoyeurs · France &amp; Europe · Version 1 (base de données)</t>
        </is>
      </c>
    </row>
    <row r="6">
      <c r="B6" s="3" t="inlineStr">
        <is>
          <t xml:space="preserve">  Contenu du classeur</t>
        </is>
      </c>
    </row>
    <row r="7">
      <c r="B7" s="4" t="inlineStr">
        <is>
          <t>Convoyages</t>
        </is>
      </c>
      <c r="C7" s="5" t="inlineStr">
        <is>
          <t>Saisie de chaque trajet : date, convoyeur, lieux, distance, montant, charges, TVA, bénéfice.</t>
        </is>
      </c>
    </row>
    <row r="8">
      <c r="B8" s="4" t="inlineStr">
        <is>
          <t>Synthèse</t>
        </is>
      </c>
      <c r="C8" s="5" t="inlineStr">
        <is>
          <t>Totaux automatiques par mois, par année et par convoyeur (nb, distance, CA, bénéfice).</t>
        </is>
      </c>
    </row>
    <row r="9">
      <c r="B9" s="4" t="inlineStr">
        <is>
          <t>Convoyeurs</t>
        </is>
      </c>
      <c r="C9" s="5" t="inlineStr">
        <is>
          <t>Liste des convoyeurs — alimente le menu déroulant. Ajoute une ligne pour un nouveau convoyeur.</t>
        </is>
      </c>
    </row>
    <row r="10">
      <c r="B10" s="4" t="inlineStr">
        <is>
          <t>Clients</t>
        </is>
      </c>
      <c r="C10" s="5" t="inlineStr">
        <is>
          <t>Liste des clients (menu déroulant).</t>
        </is>
      </c>
    </row>
    <row r="11">
      <c r="B11" s="4" t="inlineStr">
        <is>
          <t>Véhicules</t>
        </is>
      </c>
      <c r="C11" s="5" t="inlineStr">
        <is>
          <t>Liste des véhicules convoyés (menu déroulant).</t>
        </is>
      </c>
    </row>
    <row r="12">
      <c r="B12" s="4" t="inlineStr">
        <is>
          <t>Lieux</t>
        </is>
      </c>
      <c r="C12" s="5" t="inlineStr">
        <is>
          <t>Villes de France &amp; d'Europe — alimente les menus Départ / Arrivée.</t>
        </is>
      </c>
    </row>
    <row r="13">
      <c r="B13" s="4" t="inlineStr">
        <is>
          <t>Paramètres</t>
        </is>
      </c>
      <c r="C13" s="5" t="inlineStr">
        <is>
          <t>Taux de TVA et grille des options (modifiable au même endroit).</t>
        </is>
      </c>
    </row>
    <row r="15">
      <c r="B15" s="3" t="inlineStr">
        <is>
          <t xml:space="preserve">  Mode d'emploi</t>
        </is>
      </c>
    </row>
    <row r="16">
      <c r="B16" s="6" t="inlineStr">
        <is>
          <t>Cellules JAUNES</t>
        </is>
      </c>
      <c r="C16" s="5" t="inlineStr">
        <is>
          <t>à remplir par toi (date, convoyeur, lieux, distance, montant, carburant, péages, nourriture).</t>
        </is>
      </c>
    </row>
    <row r="17">
      <c r="B17" s="7" t="inlineStr">
        <is>
          <t>Cellules GRISES</t>
        </is>
      </c>
      <c r="C17" s="5" t="inlineStr">
        <is>
          <t>calculées automatiquement (TVA collectée, TTC, TVA déductible, bénéfice/perte). Ne pas y écrire.</t>
        </is>
      </c>
    </row>
    <row r="18">
      <c r="B18" s="8" t="inlineStr">
        <is>
          <t>Menus déroulants</t>
        </is>
      </c>
      <c r="C18" s="5" t="inlineStr">
        <is>
          <t>convoyeur, client, véhicule, lieux : clique sur la cellule puis sur la flèche.</t>
        </is>
      </c>
    </row>
    <row r="19">
      <c r="B19" s="8" t="inlineStr">
        <is>
          <t>Ajouter un convoyeur</t>
        </is>
      </c>
      <c r="C19" s="5" t="inlineStr">
        <is>
          <t>va dans l'onglet Convoyeurs et écris son nom sur une nouvelle ligne : il apparaît dans le menu.</t>
        </is>
      </c>
    </row>
    <row r="20">
      <c r="B20" s="8" t="inlineStr">
        <is>
          <t>Date</t>
        </is>
      </c>
      <c r="C20" s="5" t="inlineStr">
        <is>
          <t>saisie au format JJ/MM/AAAA. (Le calendrier cliquable arrive en V3 avec les macros.)</t>
        </is>
      </c>
    </row>
    <row r="22">
      <c r="B22" s="3" t="inlineStr">
        <is>
          <t xml:space="preserve">  Feuille de route</t>
        </is>
      </c>
    </row>
    <row r="23">
      <c r="B23" s="9" t="inlineStr">
        <is>
          <t>V1 — Base de données</t>
        </is>
      </c>
      <c r="C23" s="5" t="inlineStr">
        <is>
          <t>Sheets, listes déroulantes, calculs TVA/TTC/bénéfice, mise en forme.  (cette version)</t>
        </is>
      </c>
    </row>
    <row r="24">
      <c r="B24" s="9" t="inlineStr">
        <is>
          <t>V2 — Tableau de bord</t>
        </is>
      </c>
      <c r="C24" s="5" t="inlineStr">
        <is>
          <t>Statistiques jour/mois/année, graphiques, classement des convoyeurs.</t>
        </is>
      </c>
    </row>
    <row r="25">
      <c r="B25" s="9" t="inlineStr">
        <is>
          <t>V3 — Formulaires VBA</t>
        </is>
      </c>
      <c r="C25" s="5" t="inlineStr">
        <is>
          <t>Boutons Ajouter/Modifier/Supprimer, recherche instantanée, calendrier intégré.</t>
        </is>
      </c>
    </row>
    <row r="26">
      <c r="B26" s="9" t="inlineStr">
        <is>
          <t>V4 — Facturation</t>
        </is>
      </c>
      <c r="C26" s="5" t="inlineStr">
        <is>
          <t>Facturation automatique, export PDF, numérotation, gestion TVA.</t>
        </is>
      </c>
    </row>
  </sheetData>
  <mergeCells count="21">
    <mergeCell ref="C25:H25"/>
    <mergeCell ref="C26:H26"/>
    <mergeCell ref="C10:H10"/>
    <mergeCell ref="C16:H16"/>
    <mergeCell ref="C9:H9"/>
    <mergeCell ref="B6:H6"/>
    <mergeCell ref="B15:H15"/>
    <mergeCell ref="B2:H3"/>
    <mergeCell ref="C12:H12"/>
    <mergeCell ref="C11:H11"/>
    <mergeCell ref="B4:H4"/>
    <mergeCell ref="C23:H23"/>
    <mergeCell ref="C8:H8"/>
    <mergeCell ref="C17:H17"/>
    <mergeCell ref="C7:H7"/>
    <mergeCell ref="B22:H22"/>
    <mergeCell ref="C19:H19"/>
    <mergeCell ref="C13:H13"/>
    <mergeCell ref="C18:H18"/>
    <mergeCell ref="C24:H24"/>
    <mergeCell ref="C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6" customWidth="1" min="4" max="4"/>
    <col width="22" customWidth="1" min="5" max="5"/>
    <col width="22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1" customWidth="1" min="12" max="12"/>
    <col width="12" customWidth="1" min="13" max="13"/>
    <col width="15" customWidth="1" min="14" max="14"/>
    <col width="16" customWidth="1" min="15" max="15"/>
    <col hidden="1" width="13" customWidth="1" min="16" max="16"/>
    <col hidden="1" width="13" customWidth="1" min="17" max="17"/>
  </cols>
  <sheetData>
    <row r="1">
      <c r="A1" s="10" t="inlineStr">
        <is>
          <t>CONVOYAGES — France / Europe</t>
        </is>
      </c>
    </row>
    <row r="2">
      <c r="A2" s="11" t="inlineStr">
        <is>
          <t>Une ligne = un trajet.  Cellules jaunes = à remplir · cellules grises = calculées automatiquement.</t>
        </is>
      </c>
    </row>
    <row r="3">
      <c r="A3" s="12" t="inlineStr">
        <is>
          <t>Date</t>
        </is>
      </c>
      <c r="B3" s="12" t="inlineStr">
        <is>
          <t>Convoyeur</t>
        </is>
      </c>
      <c r="C3" s="12" t="inlineStr">
        <is>
          <t>Client</t>
        </is>
      </c>
      <c r="D3" s="12" t="inlineStr">
        <is>
          <t>Véhicule</t>
        </is>
      </c>
      <c r="E3" s="12" t="inlineStr">
        <is>
          <t>Lieu Départ</t>
        </is>
      </c>
      <c r="F3" s="12" t="inlineStr">
        <is>
          <t>Lieu Arrivée</t>
        </is>
      </c>
      <c r="G3" s="12" t="inlineStr">
        <is>
          <t>Distance (km)</t>
        </is>
      </c>
      <c r="H3" s="12" t="inlineStr">
        <is>
          <t>Montant HT (€)</t>
        </is>
      </c>
      <c r="I3" s="13" t="inlineStr">
        <is>
          <t>TVA collectée (€)</t>
        </is>
      </c>
      <c r="J3" s="13" t="inlineStr">
        <is>
          <t>Montant TTC (€)</t>
        </is>
      </c>
      <c r="K3" s="12" t="inlineStr">
        <is>
          <t>Carburant (€)</t>
        </is>
      </c>
      <c r="L3" s="12" t="inlineStr">
        <is>
          <t>Péages (€)</t>
        </is>
      </c>
      <c r="M3" s="12" t="inlineStr">
        <is>
          <t>Nourriture (€)</t>
        </is>
      </c>
      <c r="N3" s="13" t="inlineStr">
        <is>
          <t>TVA déductible (€)</t>
        </is>
      </c>
      <c r="O3" s="13" t="inlineStr">
        <is>
          <t>Bénéfice / Perte (€)</t>
        </is>
      </c>
      <c r="P3" s="14" t="inlineStr">
        <is>
          <t>Année</t>
        </is>
      </c>
      <c r="Q3" s="14" t="inlineStr">
        <is>
          <t>Mois</t>
        </is>
      </c>
    </row>
    <row r="4">
      <c r="A4" s="15" t="n">
        <v>46037</v>
      </c>
      <c r="B4" s="16" t="inlineStr">
        <is>
          <t>Mamadou Bah</t>
        </is>
      </c>
      <c r="C4" s="16" t="inlineStr">
        <is>
          <t>Transports Diallo SARL</t>
        </is>
      </c>
      <c r="D4" s="16" t="inlineStr">
        <is>
          <t>Peugeot 508</t>
        </is>
      </c>
      <c r="E4" s="16" t="inlineStr">
        <is>
          <t>Paris · France</t>
        </is>
      </c>
      <c r="F4" s="16" t="inlineStr">
        <is>
          <t>Lyon · France</t>
        </is>
      </c>
      <c r="G4" s="17" t="n">
        <v>465</v>
      </c>
      <c r="H4" s="18" t="n">
        <v>520</v>
      </c>
      <c r="I4" s="19">
        <f>IF($H4="","",$H4*Paramètres!$B$3)</f>
        <v/>
      </c>
      <c r="J4" s="19">
        <f>IF($H4="","",$H4+$I4)</f>
        <v/>
      </c>
      <c r="K4" s="18" t="n">
        <v>78</v>
      </c>
      <c r="L4" s="18" t="n">
        <v>42</v>
      </c>
      <c r="M4" s="18" t="n">
        <v>18</v>
      </c>
      <c r="N4" s="19">
        <f>IF(SUM($K4:$M4)=0,"",SUM($K4:$M4)*(Paramètres!$B$3/(1+Paramètres!$B$3)))</f>
        <v/>
      </c>
      <c r="O4" s="20">
        <f>IF($H4="","",$H4-SUM($K4:$M4)+IF($N4="",0,$N4))</f>
        <v/>
      </c>
      <c r="P4" s="21">
        <f>IF($A4="","",YEAR($A4))</f>
        <v/>
      </c>
      <c r="Q4" s="21">
        <f>IF($A4="","",MONTH($A4))</f>
        <v/>
      </c>
    </row>
    <row r="5">
      <c r="A5" s="15" t="n"/>
      <c r="B5" s="16" t="n"/>
      <c r="C5" s="16" t="n"/>
      <c r="D5" s="16" t="n"/>
      <c r="E5" s="16" t="n"/>
      <c r="F5" s="16" t="n"/>
      <c r="G5" s="17" t="n"/>
      <c r="H5" s="18" t="n"/>
      <c r="I5" s="19">
        <f>IF($H5="","",$H5*Paramètres!$B$3)</f>
        <v/>
      </c>
      <c r="J5" s="19">
        <f>IF($H5="","",$H5+$I5)</f>
        <v/>
      </c>
      <c r="K5" s="18" t="n"/>
      <c r="L5" s="18" t="n"/>
      <c r="M5" s="18" t="n"/>
      <c r="N5" s="19">
        <f>IF(SUM($K5:$M5)=0,"",SUM($K5:$M5)*(Paramètres!$B$3/(1+Paramètres!$B$3)))</f>
        <v/>
      </c>
      <c r="O5" s="20">
        <f>IF($H5="","",$H5-SUM($K5:$M5)+IF($N5="",0,$N5))</f>
        <v/>
      </c>
      <c r="P5" s="21">
        <f>IF($A5="","",YEAR($A5))</f>
        <v/>
      </c>
      <c r="Q5" s="21">
        <f>IF($A5="","",MONTH($A5))</f>
        <v/>
      </c>
    </row>
    <row r="6">
      <c r="A6" s="15" t="n"/>
      <c r="B6" s="16" t="n"/>
      <c r="C6" s="16" t="n"/>
      <c r="D6" s="16" t="n"/>
      <c r="E6" s="16" t="n"/>
      <c r="F6" s="16" t="n"/>
      <c r="G6" s="17" t="n"/>
      <c r="H6" s="18" t="n"/>
      <c r="I6" s="19">
        <f>IF($H6="","",$H6*Paramètres!$B$3)</f>
        <v/>
      </c>
      <c r="J6" s="19">
        <f>IF($H6="","",$H6+$I6)</f>
        <v/>
      </c>
      <c r="K6" s="18" t="n"/>
      <c r="L6" s="18" t="n"/>
      <c r="M6" s="18" t="n"/>
      <c r="N6" s="19">
        <f>IF(SUM($K6:$M6)=0,"",SUM($K6:$M6)*(Paramètres!$B$3/(1+Paramètres!$B$3)))</f>
        <v/>
      </c>
      <c r="O6" s="20">
        <f>IF($H6="","",$H6-SUM($K6:$M6)+IF($N6="",0,$N6))</f>
        <v/>
      </c>
      <c r="P6" s="21">
        <f>IF($A6="","",YEAR($A6))</f>
        <v/>
      </c>
      <c r="Q6" s="21">
        <f>IF($A6="","",MONTH($A6))</f>
        <v/>
      </c>
    </row>
    <row r="7">
      <c r="A7" s="15" t="n"/>
      <c r="B7" s="16" t="n"/>
      <c r="C7" s="16" t="n"/>
      <c r="D7" s="16" t="n"/>
      <c r="E7" s="16" t="n"/>
      <c r="F7" s="16" t="n"/>
      <c r="G7" s="17" t="n"/>
      <c r="H7" s="18" t="n"/>
      <c r="I7" s="19">
        <f>IF($H7="","",$H7*Paramètres!$B$3)</f>
        <v/>
      </c>
      <c r="J7" s="19">
        <f>IF($H7="","",$H7+$I7)</f>
        <v/>
      </c>
      <c r="K7" s="18" t="n"/>
      <c r="L7" s="18" t="n"/>
      <c r="M7" s="18" t="n"/>
      <c r="N7" s="19">
        <f>IF(SUM($K7:$M7)=0,"",SUM($K7:$M7)*(Paramètres!$B$3/(1+Paramètres!$B$3)))</f>
        <v/>
      </c>
      <c r="O7" s="20">
        <f>IF($H7="","",$H7-SUM($K7:$M7)+IF($N7="",0,$N7))</f>
        <v/>
      </c>
      <c r="P7" s="21">
        <f>IF($A7="","",YEAR($A7))</f>
        <v/>
      </c>
      <c r="Q7" s="21">
        <f>IF($A7="","",MONTH($A7))</f>
        <v/>
      </c>
    </row>
    <row r="8">
      <c r="A8" s="15" t="n"/>
      <c r="B8" s="16" t="n"/>
      <c r="C8" s="16" t="n"/>
      <c r="D8" s="16" t="n"/>
      <c r="E8" s="16" t="n"/>
      <c r="F8" s="16" t="n"/>
      <c r="G8" s="17" t="n"/>
      <c r="H8" s="18" t="n"/>
      <c r="I8" s="19">
        <f>IF($H8="","",$H8*Paramètres!$B$3)</f>
        <v/>
      </c>
      <c r="J8" s="19">
        <f>IF($H8="","",$H8+$I8)</f>
        <v/>
      </c>
      <c r="K8" s="18" t="n"/>
      <c r="L8" s="18" t="n"/>
      <c r="M8" s="18" t="n"/>
      <c r="N8" s="19">
        <f>IF(SUM($K8:$M8)=0,"",SUM($K8:$M8)*(Paramètres!$B$3/(1+Paramètres!$B$3)))</f>
        <v/>
      </c>
      <c r="O8" s="20">
        <f>IF($H8="","",$H8-SUM($K8:$M8)+IF($N8="",0,$N8))</f>
        <v/>
      </c>
      <c r="P8" s="21">
        <f>IF($A8="","",YEAR($A8))</f>
        <v/>
      </c>
      <c r="Q8" s="21">
        <f>IF($A8="","",MONTH($A8))</f>
        <v/>
      </c>
    </row>
    <row r="9">
      <c r="A9" s="15" t="n"/>
      <c r="B9" s="16" t="n"/>
      <c r="C9" s="16" t="n"/>
      <c r="D9" s="16" t="n"/>
      <c r="E9" s="16" t="n"/>
      <c r="F9" s="16" t="n"/>
      <c r="G9" s="17" t="n"/>
      <c r="H9" s="18" t="n"/>
      <c r="I9" s="19">
        <f>IF($H9="","",$H9*Paramètres!$B$3)</f>
        <v/>
      </c>
      <c r="J9" s="19">
        <f>IF($H9="","",$H9+$I9)</f>
        <v/>
      </c>
      <c r="K9" s="18" t="n"/>
      <c r="L9" s="18" t="n"/>
      <c r="M9" s="18" t="n"/>
      <c r="N9" s="19">
        <f>IF(SUM($K9:$M9)=0,"",SUM($K9:$M9)*(Paramètres!$B$3/(1+Paramètres!$B$3)))</f>
        <v/>
      </c>
      <c r="O9" s="20">
        <f>IF($H9="","",$H9-SUM($K9:$M9)+IF($N9="",0,$N9))</f>
        <v/>
      </c>
      <c r="P9" s="21">
        <f>IF($A9="","",YEAR($A9))</f>
        <v/>
      </c>
      <c r="Q9" s="21">
        <f>IF($A9="","",MONTH($A9))</f>
        <v/>
      </c>
    </row>
    <row r="10">
      <c r="A10" s="15" t="n"/>
      <c r="B10" s="16" t="n"/>
      <c r="C10" s="16" t="n"/>
      <c r="D10" s="16" t="n"/>
      <c r="E10" s="16" t="n"/>
      <c r="F10" s="16" t="n"/>
      <c r="G10" s="17" t="n"/>
      <c r="H10" s="18" t="n"/>
      <c r="I10" s="19">
        <f>IF($H10="","",$H10*Paramètres!$B$3)</f>
        <v/>
      </c>
      <c r="J10" s="19">
        <f>IF($H10="","",$H10+$I10)</f>
        <v/>
      </c>
      <c r="K10" s="18" t="n"/>
      <c r="L10" s="18" t="n"/>
      <c r="M10" s="18" t="n"/>
      <c r="N10" s="19">
        <f>IF(SUM($K10:$M10)=0,"",SUM($K10:$M10)*(Paramètres!$B$3/(1+Paramètres!$B$3)))</f>
        <v/>
      </c>
      <c r="O10" s="20">
        <f>IF($H10="","",$H10-SUM($K10:$M10)+IF($N10="",0,$N10))</f>
        <v/>
      </c>
      <c r="P10" s="21">
        <f>IF($A10="","",YEAR($A10))</f>
        <v/>
      </c>
      <c r="Q10" s="21">
        <f>IF($A10="","",MONTH($A10))</f>
        <v/>
      </c>
    </row>
    <row r="11">
      <c r="A11" s="15" t="n"/>
      <c r="B11" s="16" t="n"/>
      <c r="C11" s="16" t="n"/>
      <c r="D11" s="16" t="n"/>
      <c r="E11" s="16" t="n"/>
      <c r="F11" s="16" t="n"/>
      <c r="G11" s="17" t="n"/>
      <c r="H11" s="18" t="n"/>
      <c r="I11" s="19">
        <f>IF($H11="","",$H11*Paramètres!$B$3)</f>
        <v/>
      </c>
      <c r="J11" s="19">
        <f>IF($H11="","",$H11+$I11)</f>
        <v/>
      </c>
      <c r="K11" s="18" t="n"/>
      <c r="L11" s="18" t="n"/>
      <c r="M11" s="18" t="n"/>
      <c r="N11" s="19">
        <f>IF(SUM($K11:$M11)=0,"",SUM($K11:$M11)*(Paramètres!$B$3/(1+Paramètres!$B$3)))</f>
        <v/>
      </c>
      <c r="O11" s="20">
        <f>IF($H11="","",$H11-SUM($K11:$M11)+IF($N11="",0,$N11))</f>
        <v/>
      </c>
      <c r="P11" s="21">
        <f>IF($A11="","",YEAR($A11))</f>
        <v/>
      </c>
      <c r="Q11" s="21">
        <f>IF($A11="","",MONTH($A11))</f>
        <v/>
      </c>
    </row>
    <row r="12">
      <c r="A12" s="15" t="n"/>
      <c r="B12" s="16" t="n"/>
      <c r="C12" s="16" t="n"/>
      <c r="D12" s="16" t="n"/>
      <c r="E12" s="16" t="n"/>
      <c r="F12" s="16" t="n"/>
      <c r="G12" s="17" t="n"/>
      <c r="H12" s="18" t="n"/>
      <c r="I12" s="19">
        <f>IF($H12="","",$H12*Paramètres!$B$3)</f>
        <v/>
      </c>
      <c r="J12" s="19">
        <f>IF($H12="","",$H12+$I12)</f>
        <v/>
      </c>
      <c r="K12" s="18" t="n"/>
      <c r="L12" s="18" t="n"/>
      <c r="M12" s="18" t="n"/>
      <c r="N12" s="19">
        <f>IF(SUM($K12:$M12)=0,"",SUM($K12:$M12)*(Paramètres!$B$3/(1+Paramètres!$B$3)))</f>
        <v/>
      </c>
      <c r="O12" s="20">
        <f>IF($H12="","",$H12-SUM($K12:$M12)+IF($N12="",0,$N12))</f>
        <v/>
      </c>
      <c r="P12" s="21">
        <f>IF($A12="","",YEAR($A12))</f>
        <v/>
      </c>
      <c r="Q12" s="21">
        <f>IF($A12="","",MONTH($A12))</f>
        <v/>
      </c>
    </row>
    <row r="13">
      <c r="A13" s="15" t="n"/>
      <c r="B13" s="16" t="n"/>
      <c r="C13" s="16" t="n"/>
      <c r="D13" s="16" t="n"/>
      <c r="E13" s="16" t="n"/>
      <c r="F13" s="16" t="n"/>
      <c r="G13" s="17" t="n"/>
      <c r="H13" s="18" t="n"/>
      <c r="I13" s="19">
        <f>IF($H13="","",$H13*Paramètres!$B$3)</f>
        <v/>
      </c>
      <c r="J13" s="19">
        <f>IF($H13="","",$H13+$I13)</f>
        <v/>
      </c>
      <c r="K13" s="18" t="n"/>
      <c r="L13" s="18" t="n"/>
      <c r="M13" s="18" t="n"/>
      <c r="N13" s="19">
        <f>IF(SUM($K13:$M13)=0,"",SUM($K13:$M13)*(Paramètres!$B$3/(1+Paramètres!$B$3)))</f>
        <v/>
      </c>
      <c r="O13" s="20">
        <f>IF($H13="","",$H13-SUM($K13:$M13)+IF($N13="",0,$N13))</f>
        <v/>
      </c>
      <c r="P13" s="21">
        <f>IF($A13="","",YEAR($A13))</f>
        <v/>
      </c>
      <c r="Q13" s="21">
        <f>IF($A13="","",MONTH($A13))</f>
        <v/>
      </c>
    </row>
    <row r="14">
      <c r="A14" s="15" t="n"/>
      <c r="B14" s="16" t="n"/>
      <c r="C14" s="16" t="n"/>
      <c r="D14" s="16" t="n"/>
      <c r="E14" s="16" t="n"/>
      <c r="F14" s="16" t="n"/>
      <c r="G14" s="17" t="n"/>
      <c r="H14" s="18" t="n"/>
      <c r="I14" s="19">
        <f>IF($H14="","",$H14*Paramètres!$B$3)</f>
        <v/>
      </c>
      <c r="J14" s="19">
        <f>IF($H14="","",$H14+$I14)</f>
        <v/>
      </c>
      <c r="K14" s="18" t="n"/>
      <c r="L14" s="18" t="n"/>
      <c r="M14" s="18" t="n"/>
      <c r="N14" s="19">
        <f>IF(SUM($K14:$M14)=0,"",SUM($K14:$M14)*(Paramètres!$B$3/(1+Paramètres!$B$3)))</f>
        <v/>
      </c>
      <c r="O14" s="20">
        <f>IF($H14="","",$H14-SUM($K14:$M14)+IF($N14="",0,$N14))</f>
        <v/>
      </c>
      <c r="P14" s="21">
        <f>IF($A14="","",YEAR($A14))</f>
        <v/>
      </c>
      <c r="Q14" s="21">
        <f>IF($A14="","",MONTH($A14))</f>
        <v/>
      </c>
    </row>
    <row r="15">
      <c r="A15" s="15" t="n"/>
      <c r="B15" s="16" t="n"/>
      <c r="C15" s="16" t="n"/>
      <c r="D15" s="16" t="n"/>
      <c r="E15" s="16" t="n"/>
      <c r="F15" s="16" t="n"/>
      <c r="G15" s="17" t="n"/>
      <c r="H15" s="18" t="n"/>
      <c r="I15" s="19">
        <f>IF($H15="","",$H15*Paramètres!$B$3)</f>
        <v/>
      </c>
      <c r="J15" s="19">
        <f>IF($H15="","",$H15+$I15)</f>
        <v/>
      </c>
      <c r="K15" s="18" t="n"/>
      <c r="L15" s="18" t="n"/>
      <c r="M15" s="18" t="n"/>
      <c r="N15" s="19">
        <f>IF(SUM($K15:$M15)=0,"",SUM($K15:$M15)*(Paramètres!$B$3/(1+Paramètres!$B$3)))</f>
        <v/>
      </c>
      <c r="O15" s="20">
        <f>IF($H15="","",$H15-SUM($K15:$M15)+IF($N15="",0,$N15))</f>
        <v/>
      </c>
      <c r="P15" s="21">
        <f>IF($A15="","",YEAR($A15))</f>
        <v/>
      </c>
      <c r="Q15" s="21">
        <f>IF($A15="","",MONTH($A15))</f>
        <v/>
      </c>
    </row>
    <row r="16">
      <c r="A16" s="15" t="n"/>
      <c r="B16" s="16" t="n"/>
      <c r="C16" s="16" t="n"/>
      <c r="D16" s="16" t="n"/>
      <c r="E16" s="16" t="n"/>
      <c r="F16" s="16" t="n"/>
      <c r="G16" s="17" t="n"/>
      <c r="H16" s="18" t="n"/>
      <c r="I16" s="19">
        <f>IF($H16="","",$H16*Paramètres!$B$3)</f>
        <v/>
      </c>
      <c r="J16" s="19">
        <f>IF($H16="","",$H16+$I16)</f>
        <v/>
      </c>
      <c r="K16" s="18" t="n"/>
      <c r="L16" s="18" t="n"/>
      <c r="M16" s="18" t="n"/>
      <c r="N16" s="19">
        <f>IF(SUM($K16:$M16)=0,"",SUM($K16:$M16)*(Paramètres!$B$3/(1+Paramètres!$B$3)))</f>
        <v/>
      </c>
      <c r="O16" s="20">
        <f>IF($H16="","",$H16-SUM($K16:$M16)+IF($N16="",0,$N16))</f>
        <v/>
      </c>
      <c r="P16" s="21">
        <f>IF($A16="","",YEAR($A16))</f>
        <v/>
      </c>
      <c r="Q16" s="21">
        <f>IF($A16="","",MONTH($A16))</f>
        <v/>
      </c>
    </row>
    <row r="17">
      <c r="A17" s="15" t="n"/>
      <c r="B17" s="16" t="n"/>
      <c r="C17" s="16" t="n"/>
      <c r="D17" s="16" t="n"/>
      <c r="E17" s="16" t="n"/>
      <c r="F17" s="16" t="n"/>
      <c r="G17" s="17" t="n"/>
      <c r="H17" s="18" t="n"/>
      <c r="I17" s="19">
        <f>IF($H17="","",$H17*Paramètres!$B$3)</f>
        <v/>
      </c>
      <c r="J17" s="19">
        <f>IF($H17="","",$H17+$I17)</f>
        <v/>
      </c>
      <c r="K17" s="18" t="n"/>
      <c r="L17" s="18" t="n"/>
      <c r="M17" s="18" t="n"/>
      <c r="N17" s="19">
        <f>IF(SUM($K17:$M17)=0,"",SUM($K17:$M17)*(Paramètres!$B$3/(1+Paramètres!$B$3)))</f>
        <v/>
      </c>
      <c r="O17" s="20">
        <f>IF($H17="","",$H17-SUM($K17:$M17)+IF($N17="",0,$N17))</f>
        <v/>
      </c>
      <c r="P17" s="21">
        <f>IF($A17="","",YEAR($A17))</f>
        <v/>
      </c>
      <c r="Q17" s="21">
        <f>IF($A17="","",MONTH($A17))</f>
        <v/>
      </c>
    </row>
    <row r="18">
      <c r="A18" s="15" t="n"/>
      <c r="B18" s="16" t="n"/>
      <c r="C18" s="16" t="n"/>
      <c r="D18" s="16" t="n"/>
      <c r="E18" s="16" t="n"/>
      <c r="F18" s="16" t="n"/>
      <c r="G18" s="17" t="n"/>
      <c r="H18" s="18" t="n"/>
      <c r="I18" s="19">
        <f>IF($H18="","",$H18*Paramètres!$B$3)</f>
        <v/>
      </c>
      <c r="J18" s="19">
        <f>IF($H18="","",$H18+$I18)</f>
        <v/>
      </c>
      <c r="K18" s="18" t="n"/>
      <c r="L18" s="18" t="n"/>
      <c r="M18" s="18" t="n"/>
      <c r="N18" s="19">
        <f>IF(SUM($K18:$M18)=0,"",SUM($K18:$M18)*(Paramètres!$B$3/(1+Paramètres!$B$3)))</f>
        <v/>
      </c>
      <c r="O18" s="20">
        <f>IF($H18="","",$H18-SUM($K18:$M18)+IF($N18="",0,$N18))</f>
        <v/>
      </c>
      <c r="P18" s="21">
        <f>IF($A18="","",YEAR($A18))</f>
        <v/>
      </c>
      <c r="Q18" s="21">
        <f>IF($A18="","",MONTH($A18))</f>
        <v/>
      </c>
    </row>
    <row r="19">
      <c r="A19" s="15" t="n"/>
      <c r="B19" s="16" t="n"/>
      <c r="C19" s="16" t="n"/>
      <c r="D19" s="16" t="n"/>
      <c r="E19" s="16" t="n"/>
      <c r="F19" s="16" t="n"/>
      <c r="G19" s="17" t="n"/>
      <c r="H19" s="18" t="n"/>
      <c r="I19" s="19">
        <f>IF($H19="","",$H19*Paramètres!$B$3)</f>
        <v/>
      </c>
      <c r="J19" s="19">
        <f>IF($H19="","",$H19+$I19)</f>
        <v/>
      </c>
      <c r="K19" s="18" t="n"/>
      <c r="L19" s="18" t="n"/>
      <c r="M19" s="18" t="n"/>
      <c r="N19" s="19">
        <f>IF(SUM($K19:$M19)=0,"",SUM($K19:$M19)*(Paramètres!$B$3/(1+Paramètres!$B$3)))</f>
        <v/>
      </c>
      <c r="O19" s="20">
        <f>IF($H19="","",$H19-SUM($K19:$M19)+IF($N19="",0,$N19))</f>
        <v/>
      </c>
      <c r="P19" s="21">
        <f>IF($A19="","",YEAR($A19))</f>
        <v/>
      </c>
      <c r="Q19" s="21">
        <f>IF($A19="","",MONTH($A19))</f>
        <v/>
      </c>
    </row>
    <row r="20">
      <c r="A20" s="15" t="n"/>
      <c r="B20" s="16" t="n"/>
      <c r="C20" s="16" t="n"/>
      <c r="D20" s="16" t="n"/>
      <c r="E20" s="16" t="n"/>
      <c r="F20" s="16" t="n"/>
      <c r="G20" s="17" t="n"/>
      <c r="H20" s="18" t="n"/>
      <c r="I20" s="19">
        <f>IF($H20="","",$H20*Paramètres!$B$3)</f>
        <v/>
      </c>
      <c r="J20" s="19">
        <f>IF($H20="","",$H20+$I20)</f>
        <v/>
      </c>
      <c r="K20" s="18" t="n"/>
      <c r="L20" s="18" t="n"/>
      <c r="M20" s="18" t="n"/>
      <c r="N20" s="19">
        <f>IF(SUM($K20:$M20)=0,"",SUM($K20:$M20)*(Paramètres!$B$3/(1+Paramètres!$B$3)))</f>
        <v/>
      </c>
      <c r="O20" s="20">
        <f>IF($H20="","",$H20-SUM($K20:$M20)+IF($N20="",0,$N20))</f>
        <v/>
      </c>
      <c r="P20" s="21">
        <f>IF($A20="","",YEAR($A20))</f>
        <v/>
      </c>
      <c r="Q20" s="21">
        <f>IF($A20="","",MONTH($A20))</f>
        <v/>
      </c>
    </row>
    <row r="21">
      <c r="A21" s="15" t="n"/>
      <c r="B21" s="16" t="n"/>
      <c r="C21" s="16" t="n"/>
      <c r="D21" s="16" t="n"/>
      <c r="E21" s="16" t="n"/>
      <c r="F21" s="16" t="n"/>
      <c r="G21" s="17" t="n"/>
      <c r="H21" s="18" t="n"/>
      <c r="I21" s="19">
        <f>IF($H21="","",$H21*Paramètres!$B$3)</f>
        <v/>
      </c>
      <c r="J21" s="19">
        <f>IF($H21="","",$H21+$I21)</f>
        <v/>
      </c>
      <c r="K21" s="18" t="n"/>
      <c r="L21" s="18" t="n"/>
      <c r="M21" s="18" t="n"/>
      <c r="N21" s="19">
        <f>IF(SUM($K21:$M21)=0,"",SUM($K21:$M21)*(Paramètres!$B$3/(1+Paramètres!$B$3)))</f>
        <v/>
      </c>
      <c r="O21" s="20">
        <f>IF($H21="","",$H21-SUM($K21:$M21)+IF($N21="",0,$N21))</f>
        <v/>
      </c>
      <c r="P21" s="21">
        <f>IF($A21="","",YEAR($A21))</f>
        <v/>
      </c>
      <c r="Q21" s="21">
        <f>IF($A21="","",MONTH($A21))</f>
        <v/>
      </c>
    </row>
    <row r="22">
      <c r="A22" s="15" t="n"/>
      <c r="B22" s="16" t="n"/>
      <c r="C22" s="16" t="n"/>
      <c r="D22" s="16" t="n"/>
      <c r="E22" s="16" t="n"/>
      <c r="F22" s="16" t="n"/>
      <c r="G22" s="17" t="n"/>
      <c r="H22" s="18" t="n"/>
      <c r="I22" s="19">
        <f>IF($H22="","",$H22*Paramètres!$B$3)</f>
        <v/>
      </c>
      <c r="J22" s="19">
        <f>IF($H22="","",$H22+$I22)</f>
        <v/>
      </c>
      <c r="K22" s="18" t="n"/>
      <c r="L22" s="18" t="n"/>
      <c r="M22" s="18" t="n"/>
      <c r="N22" s="19">
        <f>IF(SUM($K22:$M22)=0,"",SUM($K22:$M22)*(Paramètres!$B$3/(1+Paramètres!$B$3)))</f>
        <v/>
      </c>
      <c r="O22" s="20">
        <f>IF($H22="","",$H22-SUM($K22:$M22)+IF($N22="",0,$N22))</f>
        <v/>
      </c>
      <c r="P22" s="21">
        <f>IF($A22="","",YEAR($A22))</f>
        <v/>
      </c>
      <c r="Q22" s="21">
        <f>IF($A22="","",MONTH($A22))</f>
        <v/>
      </c>
    </row>
    <row r="23">
      <c r="A23" s="15" t="n"/>
      <c r="B23" s="16" t="n"/>
      <c r="C23" s="16" t="n"/>
      <c r="D23" s="16" t="n"/>
      <c r="E23" s="16" t="n"/>
      <c r="F23" s="16" t="n"/>
      <c r="G23" s="17" t="n"/>
      <c r="H23" s="18" t="n"/>
      <c r="I23" s="19">
        <f>IF($H23="","",$H23*Paramètres!$B$3)</f>
        <v/>
      </c>
      <c r="J23" s="19">
        <f>IF($H23="","",$H23+$I23)</f>
        <v/>
      </c>
      <c r="K23" s="18" t="n"/>
      <c r="L23" s="18" t="n"/>
      <c r="M23" s="18" t="n"/>
      <c r="N23" s="19">
        <f>IF(SUM($K23:$M23)=0,"",SUM($K23:$M23)*(Paramètres!$B$3/(1+Paramètres!$B$3)))</f>
        <v/>
      </c>
      <c r="O23" s="20">
        <f>IF($H23="","",$H23-SUM($K23:$M23)+IF($N23="",0,$N23))</f>
        <v/>
      </c>
      <c r="P23" s="21">
        <f>IF($A23="","",YEAR($A23))</f>
        <v/>
      </c>
      <c r="Q23" s="21">
        <f>IF($A23="","",MONTH($A23))</f>
        <v/>
      </c>
    </row>
    <row r="24">
      <c r="A24" s="15" t="n"/>
      <c r="B24" s="16" t="n"/>
      <c r="C24" s="16" t="n"/>
      <c r="D24" s="16" t="n"/>
      <c r="E24" s="16" t="n"/>
      <c r="F24" s="16" t="n"/>
      <c r="G24" s="17" t="n"/>
      <c r="H24" s="18" t="n"/>
      <c r="I24" s="19">
        <f>IF($H24="","",$H24*Paramètres!$B$3)</f>
        <v/>
      </c>
      <c r="J24" s="19">
        <f>IF($H24="","",$H24+$I24)</f>
        <v/>
      </c>
      <c r="K24" s="18" t="n"/>
      <c r="L24" s="18" t="n"/>
      <c r="M24" s="18" t="n"/>
      <c r="N24" s="19">
        <f>IF(SUM($K24:$M24)=0,"",SUM($K24:$M24)*(Paramètres!$B$3/(1+Paramètres!$B$3)))</f>
        <v/>
      </c>
      <c r="O24" s="20">
        <f>IF($H24="","",$H24-SUM($K24:$M24)+IF($N24="",0,$N24))</f>
        <v/>
      </c>
      <c r="P24" s="21">
        <f>IF($A24="","",YEAR($A24))</f>
        <v/>
      </c>
      <c r="Q24" s="21">
        <f>IF($A24="","",MONTH($A24))</f>
        <v/>
      </c>
    </row>
    <row r="25">
      <c r="A25" s="15" t="n"/>
      <c r="B25" s="16" t="n"/>
      <c r="C25" s="16" t="n"/>
      <c r="D25" s="16" t="n"/>
      <c r="E25" s="16" t="n"/>
      <c r="F25" s="16" t="n"/>
      <c r="G25" s="17" t="n"/>
      <c r="H25" s="18" t="n"/>
      <c r="I25" s="19">
        <f>IF($H25="","",$H25*Paramètres!$B$3)</f>
        <v/>
      </c>
      <c r="J25" s="19">
        <f>IF($H25="","",$H25+$I25)</f>
        <v/>
      </c>
      <c r="K25" s="18" t="n"/>
      <c r="L25" s="18" t="n"/>
      <c r="M25" s="18" t="n"/>
      <c r="N25" s="19">
        <f>IF(SUM($K25:$M25)=0,"",SUM($K25:$M25)*(Paramètres!$B$3/(1+Paramètres!$B$3)))</f>
        <v/>
      </c>
      <c r="O25" s="20">
        <f>IF($H25="","",$H25-SUM($K25:$M25)+IF($N25="",0,$N25))</f>
        <v/>
      </c>
      <c r="P25" s="21">
        <f>IF($A25="","",YEAR($A25))</f>
        <v/>
      </c>
      <c r="Q25" s="21">
        <f>IF($A25="","",MONTH($A25))</f>
        <v/>
      </c>
    </row>
    <row r="26">
      <c r="A26" s="15" t="n"/>
      <c r="B26" s="16" t="n"/>
      <c r="C26" s="16" t="n"/>
      <c r="D26" s="16" t="n"/>
      <c r="E26" s="16" t="n"/>
      <c r="F26" s="16" t="n"/>
      <c r="G26" s="17" t="n"/>
      <c r="H26" s="18" t="n"/>
      <c r="I26" s="19">
        <f>IF($H26="","",$H26*Paramètres!$B$3)</f>
        <v/>
      </c>
      <c r="J26" s="19">
        <f>IF($H26="","",$H26+$I26)</f>
        <v/>
      </c>
      <c r="K26" s="18" t="n"/>
      <c r="L26" s="18" t="n"/>
      <c r="M26" s="18" t="n"/>
      <c r="N26" s="19">
        <f>IF(SUM($K26:$M26)=0,"",SUM($K26:$M26)*(Paramètres!$B$3/(1+Paramètres!$B$3)))</f>
        <v/>
      </c>
      <c r="O26" s="20">
        <f>IF($H26="","",$H26-SUM($K26:$M26)+IF($N26="",0,$N26))</f>
        <v/>
      </c>
      <c r="P26" s="21">
        <f>IF($A26="","",YEAR($A26))</f>
        <v/>
      </c>
      <c r="Q26" s="21">
        <f>IF($A26="","",MONTH($A26))</f>
        <v/>
      </c>
    </row>
    <row r="27">
      <c r="A27" s="15" t="n"/>
      <c r="B27" s="16" t="n"/>
      <c r="C27" s="16" t="n"/>
      <c r="D27" s="16" t="n"/>
      <c r="E27" s="16" t="n"/>
      <c r="F27" s="16" t="n"/>
      <c r="G27" s="17" t="n"/>
      <c r="H27" s="18" t="n"/>
      <c r="I27" s="19">
        <f>IF($H27="","",$H27*Paramètres!$B$3)</f>
        <v/>
      </c>
      <c r="J27" s="19">
        <f>IF($H27="","",$H27+$I27)</f>
        <v/>
      </c>
      <c r="K27" s="18" t="n"/>
      <c r="L27" s="18" t="n"/>
      <c r="M27" s="18" t="n"/>
      <c r="N27" s="19">
        <f>IF(SUM($K27:$M27)=0,"",SUM($K27:$M27)*(Paramètres!$B$3/(1+Paramètres!$B$3)))</f>
        <v/>
      </c>
      <c r="O27" s="20">
        <f>IF($H27="","",$H27-SUM($K27:$M27)+IF($N27="",0,$N27))</f>
        <v/>
      </c>
      <c r="P27" s="21">
        <f>IF($A27="","",YEAR($A27))</f>
        <v/>
      </c>
      <c r="Q27" s="21">
        <f>IF($A27="","",MONTH($A27))</f>
        <v/>
      </c>
    </row>
    <row r="28">
      <c r="A28" s="15" t="n"/>
      <c r="B28" s="16" t="n"/>
      <c r="C28" s="16" t="n"/>
      <c r="D28" s="16" t="n"/>
      <c r="E28" s="16" t="n"/>
      <c r="F28" s="16" t="n"/>
      <c r="G28" s="17" t="n"/>
      <c r="H28" s="18" t="n"/>
      <c r="I28" s="19">
        <f>IF($H28="","",$H28*Paramètres!$B$3)</f>
        <v/>
      </c>
      <c r="J28" s="19">
        <f>IF($H28="","",$H28+$I28)</f>
        <v/>
      </c>
      <c r="K28" s="18" t="n"/>
      <c r="L28" s="18" t="n"/>
      <c r="M28" s="18" t="n"/>
      <c r="N28" s="19">
        <f>IF(SUM($K28:$M28)=0,"",SUM($K28:$M28)*(Paramètres!$B$3/(1+Paramètres!$B$3)))</f>
        <v/>
      </c>
      <c r="O28" s="20">
        <f>IF($H28="","",$H28-SUM($K28:$M28)+IF($N28="",0,$N28))</f>
        <v/>
      </c>
      <c r="P28" s="21">
        <f>IF($A28="","",YEAR($A28))</f>
        <v/>
      </c>
      <c r="Q28" s="21">
        <f>IF($A28="","",MONTH($A28))</f>
        <v/>
      </c>
    </row>
    <row r="29">
      <c r="A29" s="15" t="n"/>
      <c r="B29" s="16" t="n"/>
      <c r="C29" s="16" t="n"/>
      <c r="D29" s="16" t="n"/>
      <c r="E29" s="16" t="n"/>
      <c r="F29" s="16" t="n"/>
      <c r="G29" s="17" t="n"/>
      <c r="H29" s="18" t="n"/>
      <c r="I29" s="19">
        <f>IF($H29="","",$H29*Paramètres!$B$3)</f>
        <v/>
      </c>
      <c r="J29" s="19">
        <f>IF($H29="","",$H29+$I29)</f>
        <v/>
      </c>
      <c r="K29" s="18" t="n"/>
      <c r="L29" s="18" t="n"/>
      <c r="M29" s="18" t="n"/>
      <c r="N29" s="19">
        <f>IF(SUM($K29:$M29)=0,"",SUM($K29:$M29)*(Paramètres!$B$3/(1+Paramètres!$B$3)))</f>
        <v/>
      </c>
      <c r="O29" s="20">
        <f>IF($H29="","",$H29-SUM($K29:$M29)+IF($N29="",0,$N29))</f>
        <v/>
      </c>
      <c r="P29" s="21">
        <f>IF($A29="","",YEAR($A29))</f>
        <v/>
      </c>
      <c r="Q29" s="21">
        <f>IF($A29="","",MONTH($A29))</f>
        <v/>
      </c>
    </row>
    <row r="30">
      <c r="A30" s="15" t="n"/>
      <c r="B30" s="16" t="n"/>
      <c r="C30" s="16" t="n"/>
      <c r="D30" s="16" t="n"/>
      <c r="E30" s="16" t="n"/>
      <c r="F30" s="16" t="n"/>
      <c r="G30" s="17" t="n"/>
      <c r="H30" s="18" t="n"/>
      <c r="I30" s="19">
        <f>IF($H30="","",$H30*Paramètres!$B$3)</f>
        <v/>
      </c>
      <c r="J30" s="19">
        <f>IF($H30="","",$H30+$I30)</f>
        <v/>
      </c>
      <c r="K30" s="18" t="n"/>
      <c r="L30" s="18" t="n"/>
      <c r="M30" s="18" t="n"/>
      <c r="N30" s="19">
        <f>IF(SUM($K30:$M30)=0,"",SUM($K30:$M30)*(Paramètres!$B$3/(1+Paramètres!$B$3)))</f>
        <v/>
      </c>
      <c r="O30" s="20">
        <f>IF($H30="","",$H30-SUM($K30:$M30)+IF($N30="",0,$N30))</f>
        <v/>
      </c>
      <c r="P30" s="21">
        <f>IF($A30="","",YEAR($A30))</f>
        <v/>
      </c>
      <c r="Q30" s="21">
        <f>IF($A30="","",MONTH($A30))</f>
        <v/>
      </c>
    </row>
    <row r="31">
      <c r="A31" s="15" t="n"/>
      <c r="B31" s="16" t="n"/>
      <c r="C31" s="16" t="n"/>
      <c r="D31" s="16" t="n"/>
      <c r="E31" s="16" t="n"/>
      <c r="F31" s="16" t="n"/>
      <c r="G31" s="17" t="n"/>
      <c r="H31" s="18" t="n"/>
      <c r="I31" s="19">
        <f>IF($H31="","",$H31*Paramètres!$B$3)</f>
        <v/>
      </c>
      <c r="J31" s="19">
        <f>IF($H31="","",$H31+$I31)</f>
        <v/>
      </c>
      <c r="K31" s="18" t="n"/>
      <c r="L31" s="18" t="n"/>
      <c r="M31" s="18" t="n"/>
      <c r="N31" s="19">
        <f>IF(SUM($K31:$M31)=0,"",SUM($K31:$M31)*(Paramètres!$B$3/(1+Paramètres!$B$3)))</f>
        <v/>
      </c>
      <c r="O31" s="20">
        <f>IF($H31="","",$H31-SUM($K31:$M31)+IF($N31="",0,$N31))</f>
        <v/>
      </c>
      <c r="P31" s="21">
        <f>IF($A31="","",YEAR($A31))</f>
        <v/>
      </c>
      <c r="Q31" s="21">
        <f>IF($A31="","",MONTH($A31))</f>
        <v/>
      </c>
    </row>
    <row r="32">
      <c r="A32" s="15" t="n"/>
      <c r="B32" s="16" t="n"/>
      <c r="C32" s="16" t="n"/>
      <c r="D32" s="16" t="n"/>
      <c r="E32" s="16" t="n"/>
      <c r="F32" s="16" t="n"/>
      <c r="G32" s="17" t="n"/>
      <c r="H32" s="18" t="n"/>
      <c r="I32" s="19">
        <f>IF($H32="","",$H32*Paramètres!$B$3)</f>
        <v/>
      </c>
      <c r="J32" s="19">
        <f>IF($H32="","",$H32+$I32)</f>
        <v/>
      </c>
      <c r="K32" s="18" t="n"/>
      <c r="L32" s="18" t="n"/>
      <c r="M32" s="18" t="n"/>
      <c r="N32" s="19">
        <f>IF(SUM($K32:$M32)=0,"",SUM($K32:$M32)*(Paramètres!$B$3/(1+Paramètres!$B$3)))</f>
        <v/>
      </c>
      <c r="O32" s="20">
        <f>IF($H32="","",$H32-SUM($K32:$M32)+IF($N32="",0,$N32))</f>
        <v/>
      </c>
      <c r="P32" s="21">
        <f>IF($A32="","",YEAR($A32))</f>
        <v/>
      </c>
      <c r="Q32" s="21">
        <f>IF($A32="","",MONTH($A32))</f>
        <v/>
      </c>
    </row>
    <row r="33">
      <c r="A33" s="15" t="n"/>
      <c r="B33" s="16" t="n"/>
      <c r="C33" s="16" t="n"/>
      <c r="D33" s="16" t="n"/>
      <c r="E33" s="16" t="n"/>
      <c r="F33" s="16" t="n"/>
      <c r="G33" s="17" t="n"/>
      <c r="H33" s="18" t="n"/>
      <c r="I33" s="19">
        <f>IF($H33="","",$H33*Paramètres!$B$3)</f>
        <v/>
      </c>
      <c r="J33" s="19">
        <f>IF($H33="","",$H33+$I33)</f>
        <v/>
      </c>
      <c r="K33" s="18" t="n"/>
      <c r="L33" s="18" t="n"/>
      <c r="M33" s="18" t="n"/>
      <c r="N33" s="19">
        <f>IF(SUM($K33:$M33)=0,"",SUM($K33:$M33)*(Paramètres!$B$3/(1+Paramètres!$B$3)))</f>
        <v/>
      </c>
      <c r="O33" s="20">
        <f>IF($H33="","",$H33-SUM($K33:$M33)+IF($N33="",0,$N33))</f>
        <v/>
      </c>
      <c r="P33" s="21">
        <f>IF($A33="","",YEAR($A33))</f>
        <v/>
      </c>
      <c r="Q33" s="21">
        <f>IF($A33="","",MONTH($A33))</f>
        <v/>
      </c>
    </row>
    <row r="34">
      <c r="A34" s="15" t="n"/>
      <c r="B34" s="16" t="n"/>
      <c r="C34" s="16" t="n"/>
      <c r="D34" s="16" t="n"/>
      <c r="E34" s="16" t="n"/>
      <c r="F34" s="16" t="n"/>
      <c r="G34" s="17" t="n"/>
      <c r="H34" s="18" t="n"/>
      <c r="I34" s="19">
        <f>IF($H34="","",$H34*Paramètres!$B$3)</f>
        <v/>
      </c>
      <c r="J34" s="19">
        <f>IF($H34="","",$H34+$I34)</f>
        <v/>
      </c>
      <c r="K34" s="18" t="n"/>
      <c r="L34" s="18" t="n"/>
      <c r="M34" s="18" t="n"/>
      <c r="N34" s="19">
        <f>IF(SUM($K34:$M34)=0,"",SUM($K34:$M34)*(Paramètres!$B$3/(1+Paramètres!$B$3)))</f>
        <v/>
      </c>
      <c r="O34" s="20">
        <f>IF($H34="","",$H34-SUM($K34:$M34)+IF($N34="",0,$N34))</f>
        <v/>
      </c>
      <c r="P34" s="21">
        <f>IF($A34="","",YEAR($A34))</f>
        <v/>
      </c>
      <c r="Q34" s="21">
        <f>IF($A34="","",MONTH($A34))</f>
        <v/>
      </c>
    </row>
    <row r="35">
      <c r="A35" s="15" t="n"/>
      <c r="B35" s="16" t="n"/>
      <c r="C35" s="16" t="n"/>
      <c r="D35" s="16" t="n"/>
      <c r="E35" s="16" t="n"/>
      <c r="F35" s="16" t="n"/>
      <c r="G35" s="17" t="n"/>
      <c r="H35" s="18" t="n"/>
      <c r="I35" s="19">
        <f>IF($H35="","",$H35*Paramètres!$B$3)</f>
        <v/>
      </c>
      <c r="J35" s="19">
        <f>IF($H35="","",$H35+$I35)</f>
        <v/>
      </c>
      <c r="K35" s="18" t="n"/>
      <c r="L35" s="18" t="n"/>
      <c r="M35" s="18" t="n"/>
      <c r="N35" s="19">
        <f>IF(SUM($K35:$M35)=0,"",SUM($K35:$M35)*(Paramètres!$B$3/(1+Paramètres!$B$3)))</f>
        <v/>
      </c>
      <c r="O35" s="20">
        <f>IF($H35="","",$H35-SUM($K35:$M35)+IF($N35="",0,$N35))</f>
        <v/>
      </c>
      <c r="P35" s="21">
        <f>IF($A35="","",YEAR($A35))</f>
        <v/>
      </c>
      <c r="Q35" s="21">
        <f>IF($A35="","",MONTH($A35))</f>
        <v/>
      </c>
    </row>
    <row r="36">
      <c r="A36" s="15" t="n"/>
      <c r="B36" s="16" t="n"/>
      <c r="C36" s="16" t="n"/>
      <c r="D36" s="16" t="n"/>
      <c r="E36" s="16" t="n"/>
      <c r="F36" s="16" t="n"/>
      <c r="G36" s="17" t="n"/>
      <c r="H36" s="18" t="n"/>
      <c r="I36" s="19">
        <f>IF($H36="","",$H36*Paramètres!$B$3)</f>
        <v/>
      </c>
      <c r="J36" s="19">
        <f>IF($H36="","",$H36+$I36)</f>
        <v/>
      </c>
      <c r="K36" s="18" t="n"/>
      <c r="L36" s="18" t="n"/>
      <c r="M36" s="18" t="n"/>
      <c r="N36" s="19">
        <f>IF(SUM($K36:$M36)=0,"",SUM($K36:$M36)*(Paramètres!$B$3/(1+Paramètres!$B$3)))</f>
        <v/>
      </c>
      <c r="O36" s="20">
        <f>IF($H36="","",$H36-SUM($K36:$M36)+IF($N36="",0,$N36))</f>
        <v/>
      </c>
      <c r="P36" s="21">
        <f>IF($A36="","",YEAR($A36))</f>
        <v/>
      </c>
      <c r="Q36" s="21">
        <f>IF($A36="","",MONTH($A36))</f>
        <v/>
      </c>
    </row>
    <row r="37">
      <c r="A37" s="15" t="n"/>
      <c r="B37" s="16" t="n"/>
      <c r="C37" s="16" t="n"/>
      <c r="D37" s="16" t="n"/>
      <c r="E37" s="16" t="n"/>
      <c r="F37" s="16" t="n"/>
      <c r="G37" s="17" t="n"/>
      <c r="H37" s="18" t="n"/>
      <c r="I37" s="19">
        <f>IF($H37="","",$H37*Paramètres!$B$3)</f>
        <v/>
      </c>
      <c r="J37" s="19">
        <f>IF($H37="","",$H37+$I37)</f>
        <v/>
      </c>
      <c r="K37" s="18" t="n"/>
      <c r="L37" s="18" t="n"/>
      <c r="M37" s="18" t="n"/>
      <c r="N37" s="19">
        <f>IF(SUM($K37:$M37)=0,"",SUM($K37:$M37)*(Paramètres!$B$3/(1+Paramètres!$B$3)))</f>
        <v/>
      </c>
      <c r="O37" s="20">
        <f>IF($H37="","",$H37-SUM($K37:$M37)+IF($N37="",0,$N37))</f>
        <v/>
      </c>
      <c r="P37" s="21">
        <f>IF($A37="","",YEAR($A37))</f>
        <v/>
      </c>
      <c r="Q37" s="21">
        <f>IF($A37="","",MONTH($A37))</f>
        <v/>
      </c>
    </row>
    <row r="38">
      <c r="A38" s="15" t="n"/>
      <c r="B38" s="16" t="n"/>
      <c r="C38" s="16" t="n"/>
      <c r="D38" s="16" t="n"/>
      <c r="E38" s="16" t="n"/>
      <c r="F38" s="16" t="n"/>
      <c r="G38" s="17" t="n"/>
      <c r="H38" s="18" t="n"/>
      <c r="I38" s="19">
        <f>IF($H38="","",$H38*Paramètres!$B$3)</f>
        <v/>
      </c>
      <c r="J38" s="19">
        <f>IF($H38="","",$H38+$I38)</f>
        <v/>
      </c>
      <c r="K38" s="18" t="n"/>
      <c r="L38" s="18" t="n"/>
      <c r="M38" s="18" t="n"/>
      <c r="N38" s="19">
        <f>IF(SUM($K38:$M38)=0,"",SUM($K38:$M38)*(Paramètres!$B$3/(1+Paramètres!$B$3)))</f>
        <v/>
      </c>
      <c r="O38" s="20">
        <f>IF($H38="","",$H38-SUM($K38:$M38)+IF($N38="",0,$N38))</f>
        <v/>
      </c>
      <c r="P38" s="21">
        <f>IF($A38="","",YEAR($A38))</f>
        <v/>
      </c>
      <c r="Q38" s="21">
        <f>IF($A38="","",MONTH($A38))</f>
        <v/>
      </c>
    </row>
    <row r="39">
      <c r="A39" s="15" t="n"/>
      <c r="B39" s="16" t="n"/>
      <c r="C39" s="16" t="n"/>
      <c r="D39" s="16" t="n"/>
      <c r="E39" s="16" t="n"/>
      <c r="F39" s="16" t="n"/>
      <c r="G39" s="17" t="n"/>
      <c r="H39" s="18" t="n"/>
      <c r="I39" s="19">
        <f>IF($H39="","",$H39*Paramètres!$B$3)</f>
        <v/>
      </c>
      <c r="J39" s="19">
        <f>IF($H39="","",$H39+$I39)</f>
        <v/>
      </c>
      <c r="K39" s="18" t="n"/>
      <c r="L39" s="18" t="n"/>
      <c r="M39" s="18" t="n"/>
      <c r="N39" s="19">
        <f>IF(SUM($K39:$M39)=0,"",SUM($K39:$M39)*(Paramètres!$B$3/(1+Paramètres!$B$3)))</f>
        <v/>
      </c>
      <c r="O39" s="20">
        <f>IF($H39="","",$H39-SUM($K39:$M39)+IF($N39="",0,$N39))</f>
        <v/>
      </c>
      <c r="P39" s="21">
        <f>IF($A39="","",YEAR($A39))</f>
        <v/>
      </c>
      <c r="Q39" s="21">
        <f>IF($A39="","",MONTH($A39))</f>
        <v/>
      </c>
    </row>
    <row r="40">
      <c r="A40" s="15" t="n"/>
      <c r="B40" s="16" t="n"/>
      <c r="C40" s="16" t="n"/>
      <c r="D40" s="16" t="n"/>
      <c r="E40" s="16" t="n"/>
      <c r="F40" s="16" t="n"/>
      <c r="G40" s="17" t="n"/>
      <c r="H40" s="18" t="n"/>
      <c r="I40" s="19">
        <f>IF($H40="","",$H40*Paramètres!$B$3)</f>
        <v/>
      </c>
      <c r="J40" s="19">
        <f>IF($H40="","",$H40+$I40)</f>
        <v/>
      </c>
      <c r="K40" s="18" t="n"/>
      <c r="L40" s="18" t="n"/>
      <c r="M40" s="18" t="n"/>
      <c r="N40" s="19">
        <f>IF(SUM($K40:$M40)=0,"",SUM($K40:$M40)*(Paramètres!$B$3/(1+Paramètres!$B$3)))</f>
        <v/>
      </c>
      <c r="O40" s="20">
        <f>IF($H40="","",$H40-SUM($K40:$M40)+IF($N40="",0,$N40))</f>
        <v/>
      </c>
      <c r="P40" s="21">
        <f>IF($A40="","",YEAR($A40))</f>
        <v/>
      </c>
      <c r="Q40" s="21">
        <f>IF($A40="","",MONTH($A40))</f>
        <v/>
      </c>
    </row>
    <row r="41">
      <c r="A41" s="15" t="n"/>
      <c r="B41" s="16" t="n"/>
      <c r="C41" s="16" t="n"/>
      <c r="D41" s="16" t="n"/>
      <c r="E41" s="16" t="n"/>
      <c r="F41" s="16" t="n"/>
      <c r="G41" s="17" t="n"/>
      <c r="H41" s="18" t="n"/>
      <c r="I41" s="19">
        <f>IF($H41="","",$H41*Paramètres!$B$3)</f>
        <v/>
      </c>
      <c r="J41" s="19">
        <f>IF($H41="","",$H41+$I41)</f>
        <v/>
      </c>
      <c r="K41" s="18" t="n"/>
      <c r="L41" s="18" t="n"/>
      <c r="M41" s="18" t="n"/>
      <c r="N41" s="19">
        <f>IF(SUM($K41:$M41)=0,"",SUM($K41:$M41)*(Paramètres!$B$3/(1+Paramètres!$B$3)))</f>
        <v/>
      </c>
      <c r="O41" s="20">
        <f>IF($H41="","",$H41-SUM($K41:$M41)+IF($N41="",0,$N41))</f>
        <v/>
      </c>
      <c r="P41" s="21">
        <f>IF($A41="","",YEAR($A41))</f>
        <v/>
      </c>
      <c r="Q41" s="21">
        <f>IF($A41="","",MONTH($A41))</f>
        <v/>
      </c>
    </row>
    <row r="42">
      <c r="A42" s="15" t="n"/>
      <c r="B42" s="16" t="n"/>
      <c r="C42" s="16" t="n"/>
      <c r="D42" s="16" t="n"/>
      <c r="E42" s="16" t="n"/>
      <c r="F42" s="16" t="n"/>
      <c r="G42" s="17" t="n"/>
      <c r="H42" s="18" t="n"/>
      <c r="I42" s="19">
        <f>IF($H42="","",$H42*Paramètres!$B$3)</f>
        <v/>
      </c>
      <c r="J42" s="19">
        <f>IF($H42="","",$H42+$I42)</f>
        <v/>
      </c>
      <c r="K42" s="18" t="n"/>
      <c r="L42" s="18" t="n"/>
      <c r="M42" s="18" t="n"/>
      <c r="N42" s="19">
        <f>IF(SUM($K42:$M42)=0,"",SUM($K42:$M42)*(Paramètres!$B$3/(1+Paramètres!$B$3)))</f>
        <v/>
      </c>
      <c r="O42" s="20">
        <f>IF($H42="","",$H42-SUM($K42:$M42)+IF($N42="",0,$N42))</f>
        <v/>
      </c>
      <c r="P42" s="21">
        <f>IF($A42="","",YEAR($A42))</f>
        <v/>
      </c>
      <c r="Q42" s="21">
        <f>IF($A42="","",MONTH($A42))</f>
        <v/>
      </c>
    </row>
    <row r="43">
      <c r="A43" s="15" t="n"/>
      <c r="B43" s="16" t="n"/>
      <c r="C43" s="16" t="n"/>
      <c r="D43" s="16" t="n"/>
      <c r="E43" s="16" t="n"/>
      <c r="F43" s="16" t="n"/>
      <c r="G43" s="17" t="n"/>
      <c r="H43" s="18" t="n"/>
      <c r="I43" s="19">
        <f>IF($H43="","",$H43*Paramètres!$B$3)</f>
        <v/>
      </c>
      <c r="J43" s="19">
        <f>IF($H43="","",$H43+$I43)</f>
        <v/>
      </c>
      <c r="K43" s="18" t="n"/>
      <c r="L43" s="18" t="n"/>
      <c r="M43" s="18" t="n"/>
      <c r="N43" s="19">
        <f>IF(SUM($K43:$M43)=0,"",SUM($K43:$M43)*(Paramètres!$B$3/(1+Paramètres!$B$3)))</f>
        <v/>
      </c>
      <c r="O43" s="20">
        <f>IF($H43="","",$H43-SUM($K43:$M43)+IF($N43="",0,$N43))</f>
        <v/>
      </c>
      <c r="P43" s="21">
        <f>IF($A43="","",YEAR($A43))</f>
        <v/>
      </c>
      <c r="Q43" s="21">
        <f>IF($A43="","",MONTH($A43))</f>
        <v/>
      </c>
    </row>
    <row r="44">
      <c r="A44" s="15" t="n"/>
      <c r="B44" s="16" t="n"/>
      <c r="C44" s="16" t="n"/>
      <c r="D44" s="16" t="n"/>
      <c r="E44" s="16" t="n"/>
      <c r="F44" s="16" t="n"/>
      <c r="G44" s="17" t="n"/>
      <c r="H44" s="18" t="n"/>
      <c r="I44" s="19">
        <f>IF($H44="","",$H44*Paramètres!$B$3)</f>
        <v/>
      </c>
      <c r="J44" s="19">
        <f>IF($H44="","",$H44+$I44)</f>
        <v/>
      </c>
      <c r="K44" s="18" t="n"/>
      <c r="L44" s="18" t="n"/>
      <c r="M44" s="18" t="n"/>
      <c r="N44" s="19">
        <f>IF(SUM($K44:$M44)=0,"",SUM($K44:$M44)*(Paramètres!$B$3/(1+Paramètres!$B$3)))</f>
        <v/>
      </c>
      <c r="O44" s="20">
        <f>IF($H44="","",$H44-SUM($K44:$M44)+IF($N44="",0,$N44))</f>
        <v/>
      </c>
      <c r="P44" s="21">
        <f>IF($A44="","",YEAR($A44))</f>
        <v/>
      </c>
      <c r="Q44" s="21">
        <f>IF($A44="","",MONTH($A44))</f>
        <v/>
      </c>
    </row>
    <row r="45">
      <c r="A45" s="15" t="n"/>
      <c r="B45" s="16" t="n"/>
      <c r="C45" s="16" t="n"/>
      <c r="D45" s="16" t="n"/>
      <c r="E45" s="16" t="n"/>
      <c r="F45" s="16" t="n"/>
      <c r="G45" s="17" t="n"/>
      <c r="H45" s="18" t="n"/>
      <c r="I45" s="19">
        <f>IF($H45="","",$H45*Paramètres!$B$3)</f>
        <v/>
      </c>
      <c r="J45" s="19">
        <f>IF($H45="","",$H45+$I45)</f>
        <v/>
      </c>
      <c r="K45" s="18" t="n"/>
      <c r="L45" s="18" t="n"/>
      <c r="M45" s="18" t="n"/>
      <c r="N45" s="19">
        <f>IF(SUM($K45:$M45)=0,"",SUM($K45:$M45)*(Paramètres!$B$3/(1+Paramètres!$B$3)))</f>
        <v/>
      </c>
      <c r="O45" s="20">
        <f>IF($H45="","",$H45-SUM($K45:$M45)+IF($N45="",0,$N45))</f>
        <v/>
      </c>
      <c r="P45" s="21">
        <f>IF($A45="","",YEAR($A45))</f>
        <v/>
      </c>
      <c r="Q45" s="21">
        <f>IF($A45="","",MONTH($A45))</f>
        <v/>
      </c>
    </row>
    <row r="46">
      <c r="A46" s="15" t="n"/>
      <c r="B46" s="16" t="n"/>
      <c r="C46" s="16" t="n"/>
      <c r="D46" s="16" t="n"/>
      <c r="E46" s="16" t="n"/>
      <c r="F46" s="16" t="n"/>
      <c r="G46" s="17" t="n"/>
      <c r="H46" s="18" t="n"/>
      <c r="I46" s="19">
        <f>IF($H46="","",$H46*Paramètres!$B$3)</f>
        <v/>
      </c>
      <c r="J46" s="19">
        <f>IF($H46="","",$H46+$I46)</f>
        <v/>
      </c>
      <c r="K46" s="18" t="n"/>
      <c r="L46" s="18" t="n"/>
      <c r="M46" s="18" t="n"/>
      <c r="N46" s="19">
        <f>IF(SUM($K46:$M46)=0,"",SUM($K46:$M46)*(Paramètres!$B$3/(1+Paramètres!$B$3)))</f>
        <v/>
      </c>
      <c r="O46" s="20">
        <f>IF($H46="","",$H46-SUM($K46:$M46)+IF($N46="",0,$N46))</f>
        <v/>
      </c>
      <c r="P46" s="21">
        <f>IF($A46="","",YEAR($A46))</f>
        <v/>
      </c>
      <c r="Q46" s="21">
        <f>IF($A46="","",MONTH($A46))</f>
        <v/>
      </c>
    </row>
    <row r="47">
      <c r="A47" s="15" t="n"/>
      <c r="B47" s="16" t="n"/>
      <c r="C47" s="16" t="n"/>
      <c r="D47" s="16" t="n"/>
      <c r="E47" s="16" t="n"/>
      <c r="F47" s="16" t="n"/>
      <c r="G47" s="17" t="n"/>
      <c r="H47" s="18" t="n"/>
      <c r="I47" s="19">
        <f>IF($H47="","",$H47*Paramètres!$B$3)</f>
        <v/>
      </c>
      <c r="J47" s="19">
        <f>IF($H47="","",$H47+$I47)</f>
        <v/>
      </c>
      <c r="K47" s="18" t="n"/>
      <c r="L47" s="18" t="n"/>
      <c r="M47" s="18" t="n"/>
      <c r="N47" s="19">
        <f>IF(SUM($K47:$M47)=0,"",SUM($K47:$M47)*(Paramètres!$B$3/(1+Paramètres!$B$3)))</f>
        <v/>
      </c>
      <c r="O47" s="20">
        <f>IF($H47="","",$H47-SUM($K47:$M47)+IF($N47="",0,$N47))</f>
        <v/>
      </c>
      <c r="P47" s="21">
        <f>IF($A47="","",YEAR($A47))</f>
        <v/>
      </c>
      <c r="Q47" s="21">
        <f>IF($A47="","",MONTH($A47))</f>
        <v/>
      </c>
    </row>
    <row r="48">
      <c r="A48" s="15" t="n"/>
      <c r="B48" s="16" t="n"/>
      <c r="C48" s="16" t="n"/>
      <c r="D48" s="16" t="n"/>
      <c r="E48" s="16" t="n"/>
      <c r="F48" s="16" t="n"/>
      <c r="G48" s="17" t="n"/>
      <c r="H48" s="18" t="n"/>
      <c r="I48" s="19">
        <f>IF($H48="","",$H48*Paramètres!$B$3)</f>
        <v/>
      </c>
      <c r="J48" s="19">
        <f>IF($H48="","",$H48+$I48)</f>
        <v/>
      </c>
      <c r="K48" s="18" t="n"/>
      <c r="L48" s="18" t="n"/>
      <c r="M48" s="18" t="n"/>
      <c r="N48" s="19">
        <f>IF(SUM($K48:$M48)=0,"",SUM($K48:$M48)*(Paramètres!$B$3/(1+Paramètres!$B$3)))</f>
        <v/>
      </c>
      <c r="O48" s="20">
        <f>IF($H48="","",$H48-SUM($K48:$M48)+IF($N48="",0,$N48))</f>
        <v/>
      </c>
      <c r="P48" s="21">
        <f>IF($A48="","",YEAR($A48))</f>
        <v/>
      </c>
      <c r="Q48" s="21">
        <f>IF($A48="","",MONTH($A48))</f>
        <v/>
      </c>
    </row>
    <row r="49">
      <c r="A49" s="15" t="n"/>
      <c r="B49" s="16" t="n"/>
      <c r="C49" s="16" t="n"/>
      <c r="D49" s="16" t="n"/>
      <c r="E49" s="16" t="n"/>
      <c r="F49" s="16" t="n"/>
      <c r="G49" s="17" t="n"/>
      <c r="H49" s="18" t="n"/>
      <c r="I49" s="19">
        <f>IF($H49="","",$H49*Paramètres!$B$3)</f>
        <v/>
      </c>
      <c r="J49" s="19">
        <f>IF($H49="","",$H49+$I49)</f>
        <v/>
      </c>
      <c r="K49" s="18" t="n"/>
      <c r="L49" s="18" t="n"/>
      <c r="M49" s="18" t="n"/>
      <c r="N49" s="19">
        <f>IF(SUM($K49:$M49)=0,"",SUM($K49:$M49)*(Paramètres!$B$3/(1+Paramètres!$B$3)))</f>
        <v/>
      </c>
      <c r="O49" s="20">
        <f>IF($H49="","",$H49-SUM($K49:$M49)+IF($N49="",0,$N49))</f>
        <v/>
      </c>
      <c r="P49" s="21">
        <f>IF($A49="","",YEAR($A49))</f>
        <v/>
      </c>
      <c r="Q49" s="21">
        <f>IF($A49="","",MONTH($A49))</f>
        <v/>
      </c>
    </row>
    <row r="50">
      <c r="A50" s="15" t="n"/>
      <c r="B50" s="16" t="n"/>
      <c r="C50" s="16" t="n"/>
      <c r="D50" s="16" t="n"/>
      <c r="E50" s="16" t="n"/>
      <c r="F50" s="16" t="n"/>
      <c r="G50" s="17" t="n"/>
      <c r="H50" s="18" t="n"/>
      <c r="I50" s="19">
        <f>IF($H50="","",$H50*Paramètres!$B$3)</f>
        <v/>
      </c>
      <c r="J50" s="19">
        <f>IF($H50="","",$H50+$I50)</f>
        <v/>
      </c>
      <c r="K50" s="18" t="n"/>
      <c r="L50" s="18" t="n"/>
      <c r="M50" s="18" t="n"/>
      <c r="N50" s="19">
        <f>IF(SUM($K50:$M50)=0,"",SUM($K50:$M50)*(Paramètres!$B$3/(1+Paramètres!$B$3)))</f>
        <v/>
      </c>
      <c r="O50" s="20">
        <f>IF($H50="","",$H50-SUM($K50:$M50)+IF($N50="",0,$N50))</f>
        <v/>
      </c>
      <c r="P50" s="21">
        <f>IF($A50="","",YEAR($A50))</f>
        <v/>
      </c>
      <c r="Q50" s="21">
        <f>IF($A50="","",MONTH($A50))</f>
        <v/>
      </c>
    </row>
    <row r="51">
      <c r="A51" s="15" t="n"/>
      <c r="B51" s="16" t="n"/>
      <c r="C51" s="16" t="n"/>
      <c r="D51" s="16" t="n"/>
      <c r="E51" s="16" t="n"/>
      <c r="F51" s="16" t="n"/>
      <c r="G51" s="17" t="n"/>
      <c r="H51" s="18" t="n"/>
      <c r="I51" s="19">
        <f>IF($H51="","",$H51*Paramètres!$B$3)</f>
        <v/>
      </c>
      <c r="J51" s="19">
        <f>IF($H51="","",$H51+$I51)</f>
        <v/>
      </c>
      <c r="K51" s="18" t="n"/>
      <c r="L51" s="18" t="n"/>
      <c r="M51" s="18" t="n"/>
      <c r="N51" s="19">
        <f>IF(SUM($K51:$M51)=0,"",SUM($K51:$M51)*(Paramètres!$B$3/(1+Paramètres!$B$3)))</f>
        <v/>
      </c>
      <c r="O51" s="20">
        <f>IF($H51="","",$H51-SUM($K51:$M51)+IF($N51="",0,$N51))</f>
        <v/>
      </c>
      <c r="P51" s="21">
        <f>IF($A51="","",YEAR($A51))</f>
        <v/>
      </c>
      <c r="Q51" s="21">
        <f>IF($A51="","",MONTH($A51))</f>
        <v/>
      </c>
    </row>
    <row r="52">
      <c r="A52" s="15" t="n"/>
      <c r="B52" s="16" t="n"/>
      <c r="C52" s="16" t="n"/>
      <c r="D52" s="16" t="n"/>
      <c r="E52" s="16" t="n"/>
      <c r="F52" s="16" t="n"/>
      <c r="G52" s="17" t="n"/>
      <c r="H52" s="18" t="n"/>
      <c r="I52" s="19">
        <f>IF($H52="","",$H52*Paramètres!$B$3)</f>
        <v/>
      </c>
      <c r="J52" s="19">
        <f>IF($H52="","",$H52+$I52)</f>
        <v/>
      </c>
      <c r="K52" s="18" t="n"/>
      <c r="L52" s="18" t="n"/>
      <c r="M52" s="18" t="n"/>
      <c r="N52" s="19">
        <f>IF(SUM($K52:$M52)=0,"",SUM($K52:$M52)*(Paramètres!$B$3/(1+Paramètres!$B$3)))</f>
        <v/>
      </c>
      <c r="O52" s="20">
        <f>IF($H52="","",$H52-SUM($K52:$M52)+IF($N52="",0,$N52))</f>
        <v/>
      </c>
      <c r="P52" s="21">
        <f>IF($A52="","",YEAR($A52))</f>
        <v/>
      </c>
      <c r="Q52" s="21">
        <f>IF($A52="","",MONTH($A52))</f>
        <v/>
      </c>
    </row>
    <row r="53">
      <c r="A53" s="15" t="n"/>
      <c r="B53" s="16" t="n"/>
      <c r="C53" s="16" t="n"/>
      <c r="D53" s="16" t="n"/>
      <c r="E53" s="16" t="n"/>
      <c r="F53" s="16" t="n"/>
      <c r="G53" s="17" t="n"/>
      <c r="H53" s="18" t="n"/>
      <c r="I53" s="19">
        <f>IF($H53="","",$H53*Paramètres!$B$3)</f>
        <v/>
      </c>
      <c r="J53" s="19">
        <f>IF($H53="","",$H53+$I53)</f>
        <v/>
      </c>
      <c r="K53" s="18" t="n"/>
      <c r="L53" s="18" t="n"/>
      <c r="M53" s="18" t="n"/>
      <c r="N53" s="19">
        <f>IF(SUM($K53:$M53)=0,"",SUM($K53:$M53)*(Paramètres!$B$3/(1+Paramètres!$B$3)))</f>
        <v/>
      </c>
      <c r="O53" s="20">
        <f>IF($H53="","",$H53-SUM($K53:$M53)+IF($N53="",0,$N53))</f>
        <v/>
      </c>
      <c r="P53" s="21">
        <f>IF($A53="","",YEAR($A53))</f>
        <v/>
      </c>
      <c r="Q53" s="21">
        <f>IF($A53="","",MONTH($A53))</f>
        <v/>
      </c>
    </row>
    <row r="54">
      <c r="A54" s="15" t="n"/>
      <c r="B54" s="16" t="n"/>
      <c r="C54" s="16" t="n"/>
      <c r="D54" s="16" t="n"/>
      <c r="E54" s="16" t="n"/>
      <c r="F54" s="16" t="n"/>
      <c r="G54" s="17" t="n"/>
      <c r="H54" s="18" t="n"/>
      <c r="I54" s="19">
        <f>IF($H54="","",$H54*Paramètres!$B$3)</f>
        <v/>
      </c>
      <c r="J54" s="19">
        <f>IF($H54="","",$H54+$I54)</f>
        <v/>
      </c>
      <c r="K54" s="18" t="n"/>
      <c r="L54" s="18" t="n"/>
      <c r="M54" s="18" t="n"/>
      <c r="N54" s="19">
        <f>IF(SUM($K54:$M54)=0,"",SUM($K54:$M54)*(Paramètres!$B$3/(1+Paramètres!$B$3)))</f>
        <v/>
      </c>
      <c r="O54" s="20">
        <f>IF($H54="","",$H54-SUM($K54:$M54)+IF($N54="",0,$N54))</f>
        <v/>
      </c>
      <c r="P54" s="21">
        <f>IF($A54="","",YEAR($A54))</f>
        <v/>
      </c>
      <c r="Q54" s="21">
        <f>IF($A54="","",MONTH($A54))</f>
        <v/>
      </c>
    </row>
    <row r="55">
      <c r="A55" s="15" t="n"/>
      <c r="B55" s="16" t="n"/>
      <c r="C55" s="16" t="n"/>
      <c r="D55" s="16" t="n"/>
      <c r="E55" s="16" t="n"/>
      <c r="F55" s="16" t="n"/>
      <c r="G55" s="17" t="n"/>
      <c r="H55" s="18" t="n"/>
      <c r="I55" s="19">
        <f>IF($H55="","",$H55*Paramètres!$B$3)</f>
        <v/>
      </c>
      <c r="J55" s="19">
        <f>IF($H55="","",$H55+$I55)</f>
        <v/>
      </c>
      <c r="K55" s="18" t="n"/>
      <c r="L55" s="18" t="n"/>
      <c r="M55" s="18" t="n"/>
      <c r="N55" s="19">
        <f>IF(SUM($K55:$M55)=0,"",SUM($K55:$M55)*(Paramètres!$B$3/(1+Paramètres!$B$3)))</f>
        <v/>
      </c>
      <c r="O55" s="20">
        <f>IF($H55="","",$H55-SUM($K55:$M55)+IF($N55="",0,$N55))</f>
        <v/>
      </c>
      <c r="P55" s="21">
        <f>IF($A55="","",YEAR($A55))</f>
        <v/>
      </c>
      <c r="Q55" s="21">
        <f>IF($A55="","",MONTH($A55))</f>
        <v/>
      </c>
    </row>
    <row r="56">
      <c r="A56" s="15" t="n"/>
      <c r="B56" s="16" t="n"/>
      <c r="C56" s="16" t="n"/>
      <c r="D56" s="16" t="n"/>
      <c r="E56" s="16" t="n"/>
      <c r="F56" s="16" t="n"/>
      <c r="G56" s="17" t="n"/>
      <c r="H56" s="18" t="n"/>
      <c r="I56" s="19">
        <f>IF($H56="","",$H56*Paramètres!$B$3)</f>
        <v/>
      </c>
      <c r="J56" s="19">
        <f>IF($H56="","",$H56+$I56)</f>
        <v/>
      </c>
      <c r="K56" s="18" t="n"/>
      <c r="L56" s="18" t="n"/>
      <c r="M56" s="18" t="n"/>
      <c r="N56" s="19">
        <f>IF(SUM($K56:$M56)=0,"",SUM($K56:$M56)*(Paramètres!$B$3/(1+Paramètres!$B$3)))</f>
        <v/>
      </c>
      <c r="O56" s="20">
        <f>IF($H56="","",$H56-SUM($K56:$M56)+IF($N56="",0,$N56))</f>
        <v/>
      </c>
      <c r="P56" s="21">
        <f>IF($A56="","",YEAR($A56))</f>
        <v/>
      </c>
      <c r="Q56" s="21">
        <f>IF($A56="","",MONTH($A56))</f>
        <v/>
      </c>
    </row>
    <row r="57">
      <c r="A57" s="15" t="n"/>
      <c r="B57" s="16" t="n"/>
      <c r="C57" s="16" t="n"/>
      <c r="D57" s="16" t="n"/>
      <c r="E57" s="16" t="n"/>
      <c r="F57" s="16" t="n"/>
      <c r="G57" s="17" t="n"/>
      <c r="H57" s="18" t="n"/>
      <c r="I57" s="19">
        <f>IF($H57="","",$H57*Paramètres!$B$3)</f>
        <v/>
      </c>
      <c r="J57" s="19">
        <f>IF($H57="","",$H57+$I57)</f>
        <v/>
      </c>
      <c r="K57" s="18" t="n"/>
      <c r="L57" s="18" t="n"/>
      <c r="M57" s="18" t="n"/>
      <c r="N57" s="19">
        <f>IF(SUM($K57:$M57)=0,"",SUM($K57:$M57)*(Paramètres!$B$3/(1+Paramètres!$B$3)))</f>
        <v/>
      </c>
      <c r="O57" s="20">
        <f>IF($H57="","",$H57-SUM($K57:$M57)+IF($N57="",0,$N57))</f>
        <v/>
      </c>
      <c r="P57" s="21">
        <f>IF($A57="","",YEAR($A57))</f>
        <v/>
      </c>
      <c r="Q57" s="21">
        <f>IF($A57="","",MONTH($A57))</f>
        <v/>
      </c>
    </row>
    <row r="58">
      <c r="A58" s="15" t="n"/>
      <c r="B58" s="16" t="n"/>
      <c r="C58" s="16" t="n"/>
      <c r="D58" s="16" t="n"/>
      <c r="E58" s="16" t="n"/>
      <c r="F58" s="16" t="n"/>
      <c r="G58" s="17" t="n"/>
      <c r="H58" s="18" t="n"/>
      <c r="I58" s="19">
        <f>IF($H58="","",$H58*Paramètres!$B$3)</f>
        <v/>
      </c>
      <c r="J58" s="19">
        <f>IF($H58="","",$H58+$I58)</f>
        <v/>
      </c>
      <c r="K58" s="18" t="n"/>
      <c r="L58" s="18" t="n"/>
      <c r="M58" s="18" t="n"/>
      <c r="N58" s="19">
        <f>IF(SUM($K58:$M58)=0,"",SUM($K58:$M58)*(Paramètres!$B$3/(1+Paramètres!$B$3)))</f>
        <v/>
      </c>
      <c r="O58" s="20">
        <f>IF($H58="","",$H58-SUM($K58:$M58)+IF($N58="",0,$N58))</f>
        <v/>
      </c>
      <c r="P58" s="21">
        <f>IF($A58="","",YEAR($A58))</f>
        <v/>
      </c>
      <c r="Q58" s="21">
        <f>IF($A58="","",MONTH($A58))</f>
        <v/>
      </c>
    </row>
    <row r="59">
      <c r="A59" s="15" t="n"/>
      <c r="B59" s="16" t="n"/>
      <c r="C59" s="16" t="n"/>
      <c r="D59" s="16" t="n"/>
      <c r="E59" s="16" t="n"/>
      <c r="F59" s="16" t="n"/>
      <c r="G59" s="17" t="n"/>
      <c r="H59" s="18" t="n"/>
      <c r="I59" s="19">
        <f>IF($H59="","",$H59*Paramètres!$B$3)</f>
        <v/>
      </c>
      <c r="J59" s="19">
        <f>IF($H59="","",$H59+$I59)</f>
        <v/>
      </c>
      <c r="K59" s="18" t="n"/>
      <c r="L59" s="18" t="n"/>
      <c r="M59" s="18" t="n"/>
      <c r="N59" s="19">
        <f>IF(SUM($K59:$M59)=0,"",SUM($K59:$M59)*(Paramètres!$B$3/(1+Paramètres!$B$3)))</f>
        <v/>
      </c>
      <c r="O59" s="20">
        <f>IF($H59="","",$H59-SUM($K59:$M59)+IF($N59="",0,$N59))</f>
        <v/>
      </c>
      <c r="P59" s="21">
        <f>IF($A59="","",YEAR($A59))</f>
        <v/>
      </c>
      <c r="Q59" s="21">
        <f>IF($A59="","",MONTH($A59))</f>
        <v/>
      </c>
    </row>
    <row r="60">
      <c r="A60" s="15" t="n"/>
      <c r="B60" s="16" t="n"/>
      <c r="C60" s="16" t="n"/>
      <c r="D60" s="16" t="n"/>
      <c r="E60" s="16" t="n"/>
      <c r="F60" s="16" t="n"/>
      <c r="G60" s="17" t="n"/>
      <c r="H60" s="18" t="n"/>
      <c r="I60" s="19">
        <f>IF($H60="","",$H60*Paramètres!$B$3)</f>
        <v/>
      </c>
      <c r="J60" s="19">
        <f>IF($H60="","",$H60+$I60)</f>
        <v/>
      </c>
      <c r="K60" s="18" t="n"/>
      <c r="L60" s="18" t="n"/>
      <c r="M60" s="18" t="n"/>
      <c r="N60" s="19">
        <f>IF(SUM($K60:$M60)=0,"",SUM($K60:$M60)*(Paramètres!$B$3/(1+Paramètres!$B$3)))</f>
        <v/>
      </c>
      <c r="O60" s="20">
        <f>IF($H60="","",$H60-SUM($K60:$M60)+IF($N60="",0,$N60))</f>
        <v/>
      </c>
      <c r="P60" s="21">
        <f>IF($A60="","",YEAR($A60))</f>
        <v/>
      </c>
      <c r="Q60" s="21">
        <f>IF($A60="","",MONTH($A60))</f>
        <v/>
      </c>
    </row>
    <row r="61">
      <c r="A61" s="15" t="n"/>
      <c r="B61" s="16" t="n"/>
      <c r="C61" s="16" t="n"/>
      <c r="D61" s="16" t="n"/>
      <c r="E61" s="16" t="n"/>
      <c r="F61" s="16" t="n"/>
      <c r="G61" s="17" t="n"/>
      <c r="H61" s="18" t="n"/>
      <c r="I61" s="19">
        <f>IF($H61="","",$H61*Paramètres!$B$3)</f>
        <v/>
      </c>
      <c r="J61" s="19">
        <f>IF($H61="","",$H61+$I61)</f>
        <v/>
      </c>
      <c r="K61" s="18" t="n"/>
      <c r="L61" s="18" t="n"/>
      <c r="M61" s="18" t="n"/>
      <c r="N61" s="19">
        <f>IF(SUM($K61:$M61)=0,"",SUM($K61:$M61)*(Paramètres!$B$3/(1+Paramètres!$B$3)))</f>
        <v/>
      </c>
      <c r="O61" s="20">
        <f>IF($H61="","",$H61-SUM($K61:$M61)+IF($N61="",0,$N61))</f>
        <v/>
      </c>
      <c r="P61" s="21">
        <f>IF($A61="","",YEAR($A61))</f>
        <v/>
      </c>
      <c r="Q61" s="21">
        <f>IF($A61="","",MONTH($A61))</f>
        <v/>
      </c>
    </row>
    <row r="62">
      <c r="A62" s="15" t="n"/>
      <c r="B62" s="16" t="n"/>
      <c r="C62" s="16" t="n"/>
      <c r="D62" s="16" t="n"/>
      <c r="E62" s="16" t="n"/>
      <c r="F62" s="16" t="n"/>
      <c r="G62" s="17" t="n"/>
      <c r="H62" s="18" t="n"/>
      <c r="I62" s="19">
        <f>IF($H62="","",$H62*Paramètres!$B$3)</f>
        <v/>
      </c>
      <c r="J62" s="19">
        <f>IF($H62="","",$H62+$I62)</f>
        <v/>
      </c>
      <c r="K62" s="18" t="n"/>
      <c r="L62" s="18" t="n"/>
      <c r="M62" s="18" t="n"/>
      <c r="N62" s="19">
        <f>IF(SUM($K62:$M62)=0,"",SUM($K62:$M62)*(Paramètres!$B$3/(1+Paramètres!$B$3)))</f>
        <v/>
      </c>
      <c r="O62" s="20">
        <f>IF($H62="","",$H62-SUM($K62:$M62)+IF($N62="",0,$N62))</f>
        <v/>
      </c>
      <c r="P62" s="21">
        <f>IF($A62="","",YEAR($A62))</f>
        <v/>
      </c>
      <c r="Q62" s="21">
        <f>IF($A62="","",MONTH($A62))</f>
        <v/>
      </c>
    </row>
    <row r="63">
      <c r="A63" s="15" t="n"/>
      <c r="B63" s="16" t="n"/>
      <c r="C63" s="16" t="n"/>
      <c r="D63" s="16" t="n"/>
      <c r="E63" s="16" t="n"/>
      <c r="F63" s="16" t="n"/>
      <c r="G63" s="17" t="n"/>
      <c r="H63" s="18" t="n"/>
      <c r="I63" s="19">
        <f>IF($H63="","",$H63*Paramètres!$B$3)</f>
        <v/>
      </c>
      <c r="J63" s="19">
        <f>IF($H63="","",$H63+$I63)</f>
        <v/>
      </c>
      <c r="K63" s="18" t="n"/>
      <c r="L63" s="18" t="n"/>
      <c r="M63" s="18" t="n"/>
      <c r="N63" s="19">
        <f>IF(SUM($K63:$M63)=0,"",SUM($K63:$M63)*(Paramètres!$B$3/(1+Paramètres!$B$3)))</f>
        <v/>
      </c>
      <c r="O63" s="20">
        <f>IF($H63="","",$H63-SUM($K63:$M63)+IF($N63="",0,$N63))</f>
        <v/>
      </c>
      <c r="P63" s="21">
        <f>IF($A63="","",YEAR($A63))</f>
        <v/>
      </c>
      <c r="Q63" s="21">
        <f>IF($A63="","",MONTH($A63))</f>
        <v/>
      </c>
    </row>
    <row r="64">
      <c r="A64" s="15" t="n"/>
      <c r="B64" s="16" t="n"/>
      <c r="C64" s="16" t="n"/>
      <c r="D64" s="16" t="n"/>
      <c r="E64" s="16" t="n"/>
      <c r="F64" s="16" t="n"/>
      <c r="G64" s="17" t="n"/>
      <c r="H64" s="18" t="n"/>
      <c r="I64" s="19">
        <f>IF($H64="","",$H64*Paramètres!$B$3)</f>
        <v/>
      </c>
      <c r="J64" s="19">
        <f>IF($H64="","",$H64+$I64)</f>
        <v/>
      </c>
      <c r="K64" s="18" t="n"/>
      <c r="L64" s="18" t="n"/>
      <c r="M64" s="18" t="n"/>
      <c r="N64" s="19">
        <f>IF(SUM($K64:$M64)=0,"",SUM($K64:$M64)*(Paramètres!$B$3/(1+Paramètres!$B$3)))</f>
        <v/>
      </c>
      <c r="O64" s="20">
        <f>IF($H64="","",$H64-SUM($K64:$M64)+IF($N64="",0,$N64))</f>
        <v/>
      </c>
      <c r="P64" s="21">
        <f>IF($A64="","",YEAR($A64))</f>
        <v/>
      </c>
      <c r="Q64" s="21">
        <f>IF($A64="","",MONTH($A64))</f>
        <v/>
      </c>
    </row>
    <row r="65">
      <c r="A65" s="15" t="n"/>
      <c r="B65" s="16" t="n"/>
      <c r="C65" s="16" t="n"/>
      <c r="D65" s="16" t="n"/>
      <c r="E65" s="16" t="n"/>
      <c r="F65" s="16" t="n"/>
      <c r="G65" s="17" t="n"/>
      <c r="H65" s="18" t="n"/>
      <c r="I65" s="19">
        <f>IF($H65="","",$H65*Paramètres!$B$3)</f>
        <v/>
      </c>
      <c r="J65" s="19">
        <f>IF($H65="","",$H65+$I65)</f>
        <v/>
      </c>
      <c r="K65" s="18" t="n"/>
      <c r="L65" s="18" t="n"/>
      <c r="M65" s="18" t="n"/>
      <c r="N65" s="19">
        <f>IF(SUM($K65:$M65)=0,"",SUM($K65:$M65)*(Paramètres!$B$3/(1+Paramètres!$B$3)))</f>
        <v/>
      </c>
      <c r="O65" s="20">
        <f>IF($H65="","",$H65-SUM($K65:$M65)+IF($N65="",0,$N65))</f>
        <v/>
      </c>
      <c r="P65" s="21">
        <f>IF($A65="","",YEAR($A65))</f>
        <v/>
      </c>
      <c r="Q65" s="21">
        <f>IF($A65="","",MONTH($A65))</f>
        <v/>
      </c>
    </row>
    <row r="66">
      <c r="A66" s="15" t="n"/>
      <c r="B66" s="16" t="n"/>
      <c r="C66" s="16" t="n"/>
      <c r="D66" s="16" t="n"/>
      <c r="E66" s="16" t="n"/>
      <c r="F66" s="16" t="n"/>
      <c r="G66" s="17" t="n"/>
      <c r="H66" s="18" t="n"/>
      <c r="I66" s="19">
        <f>IF($H66="","",$H66*Paramètres!$B$3)</f>
        <v/>
      </c>
      <c r="J66" s="19">
        <f>IF($H66="","",$H66+$I66)</f>
        <v/>
      </c>
      <c r="K66" s="18" t="n"/>
      <c r="L66" s="18" t="n"/>
      <c r="M66" s="18" t="n"/>
      <c r="N66" s="19">
        <f>IF(SUM($K66:$M66)=0,"",SUM($K66:$M66)*(Paramètres!$B$3/(1+Paramètres!$B$3)))</f>
        <v/>
      </c>
      <c r="O66" s="20">
        <f>IF($H66="","",$H66-SUM($K66:$M66)+IF($N66="",0,$N66))</f>
        <v/>
      </c>
      <c r="P66" s="21">
        <f>IF($A66="","",YEAR($A66))</f>
        <v/>
      </c>
      <c r="Q66" s="21">
        <f>IF($A66="","",MONTH($A66))</f>
        <v/>
      </c>
    </row>
    <row r="67">
      <c r="A67" s="15" t="n"/>
      <c r="B67" s="16" t="n"/>
      <c r="C67" s="16" t="n"/>
      <c r="D67" s="16" t="n"/>
      <c r="E67" s="16" t="n"/>
      <c r="F67" s="16" t="n"/>
      <c r="G67" s="17" t="n"/>
      <c r="H67" s="18" t="n"/>
      <c r="I67" s="19">
        <f>IF($H67="","",$H67*Paramètres!$B$3)</f>
        <v/>
      </c>
      <c r="J67" s="19">
        <f>IF($H67="","",$H67+$I67)</f>
        <v/>
      </c>
      <c r="K67" s="18" t="n"/>
      <c r="L67" s="18" t="n"/>
      <c r="M67" s="18" t="n"/>
      <c r="N67" s="19">
        <f>IF(SUM($K67:$M67)=0,"",SUM($K67:$M67)*(Paramètres!$B$3/(1+Paramètres!$B$3)))</f>
        <v/>
      </c>
      <c r="O67" s="20">
        <f>IF($H67="","",$H67-SUM($K67:$M67)+IF($N67="",0,$N67))</f>
        <v/>
      </c>
      <c r="P67" s="21">
        <f>IF($A67="","",YEAR($A67))</f>
        <v/>
      </c>
      <c r="Q67" s="21">
        <f>IF($A67="","",MONTH($A67))</f>
        <v/>
      </c>
    </row>
    <row r="68">
      <c r="A68" s="15" t="n"/>
      <c r="B68" s="16" t="n"/>
      <c r="C68" s="16" t="n"/>
      <c r="D68" s="16" t="n"/>
      <c r="E68" s="16" t="n"/>
      <c r="F68" s="16" t="n"/>
      <c r="G68" s="17" t="n"/>
      <c r="H68" s="18" t="n"/>
      <c r="I68" s="19">
        <f>IF($H68="","",$H68*Paramètres!$B$3)</f>
        <v/>
      </c>
      <c r="J68" s="19">
        <f>IF($H68="","",$H68+$I68)</f>
        <v/>
      </c>
      <c r="K68" s="18" t="n"/>
      <c r="L68" s="18" t="n"/>
      <c r="M68" s="18" t="n"/>
      <c r="N68" s="19">
        <f>IF(SUM($K68:$M68)=0,"",SUM($K68:$M68)*(Paramètres!$B$3/(1+Paramètres!$B$3)))</f>
        <v/>
      </c>
      <c r="O68" s="20">
        <f>IF($H68="","",$H68-SUM($K68:$M68)+IF($N68="",0,$N68))</f>
        <v/>
      </c>
      <c r="P68" s="21">
        <f>IF($A68="","",YEAR($A68))</f>
        <v/>
      </c>
      <c r="Q68" s="21">
        <f>IF($A68="","",MONTH($A68))</f>
        <v/>
      </c>
    </row>
    <row r="69">
      <c r="A69" s="15" t="n"/>
      <c r="B69" s="16" t="n"/>
      <c r="C69" s="16" t="n"/>
      <c r="D69" s="16" t="n"/>
      <c r="E69" s="16" t="n"/>
      <c r="F69" s="16" t="n"/>
      <c r="G69" s="17" t="n"/>
      <c r="H69" s="18" t="n"/>
      <c r="I69" s="19">
        <f>IF($H69="","",$H69*Paramètres!$B$3)</f>
        <v/>
      </c>
      <c r="J69" s="19">
        <f>IF($H69="","",$H69+$I69)</f>
        <v/>
      </c>
      <c r="K69" s="18" t="n"/>
      <c r="L69" s="18" t="n"/>
      <c r="M69" s="18" t="n"/>
      <c r="N69" s="19">
        <f>IF(SUM($K69:$M69)=0,"",SUM($K69:$M69)*(Paramètres!$B$3/(1+Paramètres!$B$3)))</f>
        <v/>
      </c>
      <c r="O69" s="20">
        <f>IF($H69="","",$H69-SUM($K69:$M69)+IF($N69="",0,$N69))</f>
        <v/>
      </c>
      <c r="P69" s="21">
        <f>IF($A69="","",YEAR($A69))</f>
        <v/>
      </c>
      <c r="Q69" s="21">
        <f>IF($A69="","",MONTH($A69))</f>
        <v/>
      </c>
    </row>
    <row r="70">
      <c r="A70" s="15" t="n"/>
      <c r="B70" s="16" t="n"/>
      <c r="C70" s="16" t="n"/>
      <c r="D70" s="16" t="n"/>
      <c r="E70" s="16" t="n"/>
      <c r="F70" s="16" t="n"/>
      <c r="G70" s="17" t="n"/>
      <c r="H70" s="18" t="n"/>
      <c r="I70" s="19">
        <f>IF($H70="","",$H70*Paramètres!$B$3)</f>
        <v/>
      </c>
      <c r="J70" s="19">
        <f>IF($H70="","",$H70+$I70)</f>
        <v/>
      </c>
      <c r="K70" s="18" t="n"/>
      <c r="L70" s="18" t="n"/>
      <c r="M70" s="18" t="n"/>
      <c r="N70" s="19">
        <f>IF(SUM($K70:$M70)=0,"",SUM($K70:$M70)*(Paramètres!$B$3/(1+Paramètres!$B$3)))</f>
        <v/>
      </c>
      <c r="O70" s="20">
        <f>IF($H70="","",$H70-SUM($K70:$M70)+IF($N70="",0,$N70))</f>
        <v/>
      </c>
      <c r="P70" s="21">
        <f>IF($A70="","",YEAR($A70))</f>
        <v/>
      </c>
      <c r="Q70" s="21">
        <f>IF($A70="","",MONTH($A70))</f>
        <v/>
      </c>
    </row>
    <row r="71">
      <c r="A71" s="15" t="n"/>
      <c r="B71" s="16" t="n"/>
      <c r="C71" s="16" t="n"/>
      <c r="D71" s="16" t="n"/>
      <c r="E71" s="16" t="n"/>
      <c r="F71" s="16" t="n"/>
      <c r="G71" s="17" t="n"/>
      <c r="H71" s="18" t="n"/>
      <c r="I71" s="19">
        <f>IF($H71="","",$H71*Paramètres!$B$3)</f>
        <v/>
      </c>
      <c r="J71" s="19">
        <f>IF($H71="","",$H71+$I71)</f>
        <v/>
      </c>
      <c r="K71" s="18" t="n"/>
      <c r="L71" s="18" t="n"/>
      <c r="M71" s="18" t="n"/>
      <c r="N71" s="19">
        <f>IF(SUM($K71:$M71)=0,"",SUM($K71:$M71)*(Paramètres!$B$3/(1+Paramètres!$B$3)))</f>
        <v/>
      </c>
      <c r="O71" s="20">
        <f>IF($H71="","",$H71-SUM($K71:$M71)+IF($N71="",0,$N71))</f>
        <v/>
      </c>
      <c r="P71" s="21">
        <f>IF($A71="","",YEAR($A71))</f>
        <v/>
      </c>
      <c r="Q71" s="21">
        <f>IF($A71="","",MONTH($A71))</f>
        <v/>
      </c>
    </row>
    <row r="72">
      <c r="A72" s="15" t="n"/>
      <c r="B72" s="16" t="n"/>
      <c r="C72" s="16" t="n"/>
      <c r="D72" s="16" t="n"/>
      <c r="E72" s="16" t="n"/>
      <c r="F72" s="16" t="n"/>
      <c r="G72" s="17" t="n"/>
      <c r="H72" s="18" t="n"/>
      <c r="I72" s="19">
        <f>IF($H72="","",$H72*Paramètres!$B$3)</f>
        <v/>
      </c>
      <c r="J72" s="19">
        <f>IF($H72="","",$H72+$I72)</f>
        <v/>
      </c>
      <c r="K72" s="18" t="n"/>
      <c r="L72" s="18" t="n"/>
      <c r="M72" s="18" t="n"/>
      <c r="N72" s="19">
        <f>IF(SUM($K72:$M72)=0,"",SUM($K72:$M72)*(Paramètres!$B$3/(1+Paramètres!$B$3)))</f>
        <v/>
      </c>
      <c r="O72" s="20">
        <f>IF($H72="","",$H72-SUM($K72:$M72)+IF($N72="",0,$N72))</f>
        <v/>
      </c>
      <c r="P72" s="21">
        <f>IF($A72="","",YEAR($A72))</f>
        <v/>
      </c>
      <c r="Q72" s="21">
        <f>IF($A72="","",MONTH($A72))</f>
        <v/>
      </c>
    </row>
    <row r="73">
      <c r="A73" s="15" t="n"/>
      <c r="B73" s="16" t="n"/>
      <c r="C73" s="16" t="n"/>
      <c r="D73" s="16" t="n"/>
      <c r="E73" s="16" t="n"/>
      <c r="F73" s="16" t="n"/>
      <c r="G73" s="17" t="n"/>
      <c r="H73" s="18" t="n"/>
      <c r="I73" s="19">
        <f>IF($H73="","",$H73*Paramètres!$B$3)</f>
        <v/>
      </c>
      <c r="J73" s="19">
        <f>IF($H73="","",$H73+$I73)</f>
        <v/>
      </c>
      <c r="K73" s="18" t="n"/>
      <c r="L73" s="18" t="n"/>
      <c r="M73" s="18" t="n"/>
      <c r="N73" s="19">
        <f>IF(SUM($K73:$M73)=0,"",SUM($K73:$M73)*(Paramètres!$B$3/(1+Paramètres!$B$3)))</f>
        <v/>
      </c>
      <c r="O73" s="20">
        <f>IF($H73="","",$H73-SUM($K73:$M73)+IF($N73="",0,$N73))</f>
        <v/>
      </c>
      <c r="P73" s="21">
        <f>IF($A73="","",YEAR($A73))</f>
        <v/>
      </c>
      <c r="Q73" s="21">
        <f>IF($A73="","",MONTH($A73))</f>
        <v/>
      </c>
    </row>
    <row r="74">
      <c r="A74" s="15" t="n"/>
      <c r="B74" s="16" t="n"/>
      <c r="C74" s="16" t="n"/>
      <c r="D74" s="16" t="n"/>
      <c r="E74" s="16" t="n"/>
      <c r="F74" s="16" t="n"/>
      <c r="G74" s="17" t="n"/>
      <c r="H74" s="18" t="n"/>
      <c r="I74" s="19">
        <f>IF($H74="","",$H74*Paramètres!$B$3)</f>
        <v/>
      </c>
      <c r="J74" s="19">
        <f>IF($H74="","",$H74+$I74)</f>
        <v/>
      </c>
      <c r="K74" s="18" t="n"/>
      <c r="L74" s="18" t="n"/>
      <c r="M74" s="18" t="n"/>
      <c r="N74" s="19">
        <f>IF(SUM($K74:$M74)=0,"",SUM($K74:$M74)*(Paramètres!$B$3/(1+Paramètres!$B$3)))</f>
        <v/>
      </c>
      <c r="O74" s="20">
        <f>IF($H74="","",$H74-SUM($K74:$M74)+IF($N74="",0,$N74))</f>
        <v/>
      </c>
      <c r="P74" s="21">
        <f>IF($A74="","",YEAR($A74))</f>
        <v/>
      </c>
      <c r="Q74" s="21">
        <f>IF($A74="","",MONTH($A74))</f>
        <v/>
      </c>
    </row>
    <row r="75">
      <c r="A75" s="15" t="n"/>
      <c r="B75" s="16" t="n"/>
      <c r="C75" s="16" t="n"/>
      <c r="D75" s="16" t="n"/>
      <c r="E75" s="16" t="n"/>
      <c r="F75" s="16" t="n"/>
      <c r="G75" s="17" t="n"/>
      <c r="H75" s="18" t="n"/>
      <c r="I75" s="19">
        <f>IF($H75="","",$H75*Paramètres!$B$3)</f>
        <v/>
      </c>
      <c r="J75" s="19">
        <f>IF($H75="","",$H75+$I75)</f>
        <v/>
      </c>
      <c r="K75" s="18" t="n"/>
      <c r="L75" s="18" t="n"/>
      <c r="M75" s="18" t="n"/>
      <c r="N75" s="19">
        <f>IF(SUM($K75:$M75)=0,"",SUM($K75:$M75)*(Paramètres!$B$3/(1+Paramètres!$B$3)))</f>
        <v/>
      </c>
      <c r="O75" s="20">
        <f>IF($H75="","",$H75-SUM($K75:$M75)+IF($N75="",0,$N75))</f>
        <v/>
      </c>
      <c r="P75" s="21">
        <f>IF($A75="","",YEAR($A75))</f>
        <v/>
      </c>
      <c r="Q75" s="21">
        <f>IF($A75="","",MONTH($A75))</f>
        <v/>
      </c>
    </row>
    <row r="76">
      <c r="A76" s="15" t="n"/>
      <c r="B76" s="16" t="n"/>
      <c r="C76" s="16" t="n"/>
      <c r="D76" s="16" t="n"/>
      <c r="E76" s="16" t="n"/>
      <c r="F76" s="16" t="n"/>
      <c r="G76" s="17" t="n"/>
      <c r="H76" s="18" t="n"/>
      <c r="I76" s="19">
        <f>IF($H76="","",$H76*Paramètres!$B$3)</f>
        <v/>
      </c>
      <c r="J76" s="19">
        <f>IF($H76="","",$H76+$I76)</f>
        <v/>
      </c>
      <c r="K76" s="18" t="n"/>
      <c r="L76" s="18" t="n"/>
      <c r="M76" s="18" t="n"/>
      <c r="N76" s="19">
        <f>IF(SUM($K76:$M76)=0,"",SUM($K76:$M76)*(Paramètres!$B$3/(1+Paramètres!$B$3)))</f>
        <v/>
      </c>
      <c r="O76" s="20">
        <f>IF($H76="","",$H76-SUM($K76:$M76)+IF($N76="",0,$N76))</f>
        <v/>
      </c>
      <c r="P76" s="21">
        <f>IF($A76="","",YEAR($A76))</f>
        <v/>
      </c>
      <c r="Q76" s="21">
        <f>IF($A76="","",MONTH($A76))</f>
        <v/>
      </c>
    </row>
    <row r="77">
      <c r="A77" s="15" t="n"/>
      <c r="B77" s="16" t="n"/>
      <c r="C77" s="16" t="n"/>
      <c r="D77" s="16" t="n"/>
      <c r="E77" s="16" t="n"/>
      <c r="F77" s="16" t="n"/>
      <c r="G77" s="17" t="n"/>
      <c r="H77" s="18" t="n"/>
      <c r="I77" s="19">
        <f>IF($H77="","",$H77*Paramètres!$B$3)</f>
        <v/>
      </c>
      <c r="J77" s="19">
        <f>IF($H77="","",$H77+$I77)</f>
        <v/>
      </c>
      <c r="K77" s="18" t="n"/>
      <c r="L77" s="18" t="n"/>
      <c r="M77" s="18" t="n"/>
      <c r="N77" s="19">
        <f>IF(SUM($K77:$M77)=0,"",SUM($K77:$M77)*(Paramètres!$B$3/(1+Paramètres!$B$3)))</f>
        <v/>
      </c>
      <c r="O77" s="20">
        <f>IF($H77="","",$H77-SUM($K77:$M77)+IF($N77="",0,$N77))</f>
        <v/>
      </c>
      <c r="P77" s="21">
        <f>IF($A77="","",YEAR($A77))</f>
        <v/>
      </c>
      <c r="Q77" s="21">
        <f>IF($A77="","",MONTH($A77))</f>
        <v/>
      </c>
    </row>
    <row r="78">
      <c r="A78" s="15" t="n"/>
      <c r="B78" s="16" t="n"/>
      <c r="C78" s="16" t="n"/>
      <c r="D78" s="16" t="n"/>
      <c r="E78" s="16" t="n"/>
      <c r="F78" s="16" t="n"/>
      <c r="G78" s="17" t="n"/>
      <c r="H78" s="18" t="n"/>
      <c r="I78" s="19">
        <f>IF($H78="","",$H78*Paramètres!$B$3)</f>
        <v/>
      </c>
      <c r="J78" s="19">
        <f>IF($H78="","",$H78+$I78)</f>
        <v/>
      </c>
      <c r="K78" s="18" t="n"/>
      <c r="L78" s="18" t="n"/>
      <c r="M78" s="18" t="n"/>
      <c r="N78" s="19">
        <f>IF(SUM($K78:$M78)=0,"",SUM($K78:$M78)*(Paramètres!$B$3/(1+Paramètres!$B$3)))</f>
        <v/>
      </c>
      <c r="O78" s="20">
        <f>IF($H78="","",$H78-SUM($K78:$M78)+IF($N78="",0,$N78))</f>
        <v/>
      </c>
      <c r="P78" s="21">
        <f>IF($A78="","",YEAR($A78))</f>
        <v/>
      </c>
      <c r="Q78" s="21">
        <f>IF($A78="","",MONTH($A78))</f>
        <v/>
      </c>
    </row>
    <row r="79">
      <c r="A79" s="15" t="n"/>
      <c r="B79" s="16" t="n"/>
      <c r="C79" s="16" t="n"/>
      <c r="D79" s="16" t="n"/>
      <c r="E79" s="16" t="n"/>
      <c r="F79" s="16" t="n"/>
      <c r="G79" s="17" t="n"/>
      <c r="H79" s="18" t="n"/>
      <c r="I79" s="19">
        <f>IF($H79="","",$H79*Paramètres!$B$3)</f>
        <v/>
      </c>
      <c r="J79" s="19">
        <f>IF($H79="","",$H79+$I79)</f>
        <v/>
      </c>
      <c r="K79" s="18" t="n"/>
      <c r="L79" s="18" t="n"/>
      <c r="M79" s="18" t="n"/>
      <c r="N79" s="19">
        <f>IF(SUM($K79:$M79)=0,"",SUM($K79:$M79)*(Paramètres!$B$3/(1+Paramètres!$B$3)))</f>
        <v/>
      </c>
      <c r="O79" s="20">
        <f>IF($H79="","",$H79-SUM($K79:$M79)+IF($N79="",0,$N79))</f>
        <v/>
      </c>
      <c r="P79" s="21">
        <f>IF($A79="","",YEAR($A79))</f>
        <v/>
      </c>
      <c r="Q79" s="21">
        <f>IF($A79="","",MONTH($A79))</f>
        <v/>
      </c>
    </row>
    <row r="80">
      <c r="A80" s="15" t="n"/>
      <c r="B80" s="16" t="n"/>
      <c r="C80" s="16" t="n"/>
      <c r="D80" s="16" t="n"/>
      <c r="E80" s="16" t="n"/>
      <c r="F80" s="16" t="n"/>
      <c r="G80" s="17" t="n"/>
      <c r="H80" s="18" t="n"/>
      <c r="I80" s="19">
        <f>IF($H80="","",$H80*Paramètres!$B$3)</f>
        <v/>
      </c>
      <c r="J80" s="19">
        <f>IF($H80="","",$H80+$I80)</f>
        <v/>
      </c>
      <c r="K80" s="18" t="n"/>
      <c r="L80" s="18" t="n"/>
      <c r="M80" s="18" t="n"/>
      <c r="N80" s="19">
        <f>IF(SUM($K80:$M80)=0,"",SUM($K80:$M80)*(Paramètres!$B$3/(1+Paramètres!$B$3)))</f>
        <v/>
      </c>
      <c r="O80" s="20">
        <f>IF($H80="","",$H80-SUM($K80:$M80)+IF($N80="",0,$N80))</f>
        <v/>
      </c>
      <c r="P80" s="21">
        <f>IF($A80="","",YEAR($A80))</f>
        <v/>
      </c>
      <c r="Q80" s="21">
        <f>IF($A80="","",MONTH($A80))</f>
        <v/>
      </c>
    </row>
    <row r="81">
      <c r="A81" s="15" t="n"/>
      <c r="B81" s="16" t="n"/>
      <c r="C81" s="16" t="n"/>
      <c r="D81" s="16" t="n"/>
      <c r="E81" s="16" t="n"/>
      <c r="F81" s="16" t="n"/>
      <c r="G81" s="17" t="n"/>
      <c r="H81" s="18" t="n"/>
      <c r="I81" s="19">
        <f>IF($H81="","",$H81*Paramètres!$B$3)</f>
        <v/>
      </c>
      <c r="J81" s="19">
        <f>IF($H81="","",$H81+$I81)</f>
        <v/>
      </c>
      <c r="K81" s="18" t="n"/>
      <c r="L81" s="18" t="n"/>
      <c r="M81" s="18" t="n"/>
      <c r="N81" s="19">
        <f>IF(SUM($K81:$M81)=0,"",SUM($K81:$M81)*(Paramètres!$B$3/(1+Paramètres!$B$3)))</f>
        <v/>
      </c>
      <c r="O81" s="20">
        <f>IF($H81="","",$H81-SUM($K81:$M81)+IF($N81="",0,$N81))</f>
        <v/>
      </c>
      <c r="P81" s="21">
        <f>IF($A81="","",YEAR($A81))</f>
        <v/>
      </c>
      <c r="Q81" s="21">
        <f>IF($A81="","",MONTH($A81))</f>
        <v/>
      </c>
    </row>
    <row r="82">
      <c r="A82" s="15" t="n"/>
      <c r="B82" s="16" t="n"/>
      <c r="C82" s="16" t="n"/>
      <c r="D82" s="16" t="n"/>
      <c r="E82" s="16" t="n"/>
      <c r="F82" s="16" t="n"/>
      <c r="G82" s="17" t="n"/>
      <c r="H82" s="18" t="n"/>
      <c r="I82" s="19">
        <f>IF($H82="","",$H82*Paramètres!$B$3)</f>
        <v/>
      </c>
      <c r="J82" s="19">
        <f>IF($H82="","",$H82+$I82)</f>
        <v/>
      </c>
      <c r="K82" s="18" t="n"/>
      <c r="L82" s="18" t="n"/>
      <c r="M82" s="18" t="n"/>
      <c r="N82" s="19">
        <f>IF(SUM($K82:$M82)=0,"",SUM($K82:$M82)*(Paramètres!$B$3/(1+Paramètres!$B$3)))</f>
        <v/>
      </c>
      <c r="O82" s="20">
        <f>IF($H82="","",$H82-SUM($K82:$M82)+IF($N82="",0,$N82))</f>
        <v/>
      </c>
      <c r="P82" s="21">
        <f>IF($A82="","",YEAR($A82))</f>
        <v/>
      </c>
      <c r="Q82" s="21">
        <f>IF($A82="","",MONTH($A82))</f>
        <v/>
      </c>
    </row>
    <row r="83">
      <c r="A83" s="15" t="n"/>
      <c r="B83" s="16" t="n"/>
      <c r="C83" s="16" t="n"/>
      <c r="D83" s="16" t="n"/>
      <c r="E83" s="16" t="n"/>
      <c r="F83" s="16" t="n"/>
      <c r="G83" s="17" t="n"/>
      <c r="H83" s="18" t="n"/>
      <c r="I83" s="19">
        <f>IF($H83="","",$H83*Paramètres!$B$3)</f>
        <v/>
      </c>
      <c r="J83" s="19">
        <f>IF($H83="","",$H83+$I83)</f>
        <v/>
      </c>
      <c r="K83" s="18" t="n"/>
      <c r="L83" s="18" t="n"/>
      <c r="M83" s="18" t="n"/>
      <c r="N83" s="19">
        <f>IF(SUM($K83:$M83)=0,"",SUM($K83:$M83)*(Paramètres!$B$3/(1+Paramètres!$B$3)))</f>
        <v/>
      </c>
      <c r="O83" s="20">
        <f>IF($H83="","",$H83-SUM($K83:$M83)+IF($N83="",0,$N83))</f>
        <v/>
      </c>
      <c r="P83" s="21">
        <f>IF($A83="","",YEAR($A83))</f>
        <v/>
      </c>
      <c r="Q83" s="21">
        <f>IF($A83="","",MONTH($A83))</f>
        <v/>
      </c>
    </row>
    <row r="84">
      <c r="A84" s="15" t="n"/>
      <c r="B84" s="16" t="n"/>
      <c r="C84" s="16" t="n"/>
      <c r="D84" s="16" t="n"/>
      <c r="E84" s="16" t="n"/>
      <c r="F84" s="16" t="n"/>
      <c r="G84" s="17" t="n"/>
      <c r="H84" s="18" t="n"/>
      <c r="I84" s="19">
        <f>IF($H84="","",$H84*Paramètres!$B$3)</f>
        <v/>
      </c>
      <c r="J84" s="19">
        <f>IF($H84="","",$H84+$I84)</f>
        <v/>
      </c>
      <c r="K84" s="18" t="n"/>
      <c r="L84" s="18" t="n"/>
      <c r="M84" s="18" t="n"/>
      <c r="N84" s="19">
        <f>IF(SUM($K84:$M84)=0,"",SUM($K84:$M84)*(Paramètres!$B$3/(1+Paramètres!$B$3)))</f>
        <v/>
      </c>
      <c r="O84" s="20">
        <f>IF($H84="","",$H84-SUM($K84:$M84)+IF($N84="",0,$N84))</f>
        <v/>
      </c>
      <c r="P84" s="21">
        <f>IF($A84="","",YEAR($A84))</f>
        <v/>
      </c>
      <c r="Q84" s="21">
        <f>IF($A84="","",MONTH($A84))</f>
        <v/>
      </c>
    </row>
    <row r="85">
      <c r="A85" s="15" t="n"/>
      <c r="B85" s="16" t="n"/>
      <c r="C85" s="16" t="n"/>
      <c r="D85" s="16" t="n"/>
      <c r="E85" s="16" t="n"/>
      <c r="F85" s="16" t="n"/>
      <c r="G85" s="17" t="n"/>
      <c r="H85" s="18" t="n"/>
      <c r="I85" s="19">
        <f>IF($H85="","",$H85*Paramètres!$B$3)</f>
        <v/>
      </c>
      <c r="J85" s="19">
        <f>IF($H85="","",$H85+$I85)</f>
        <v/>
      </c>
      <c r="K85" s="18" t="n"/>
      <c r="L85" s="18" t="n"/>
      <c r="M85" s="18" t="n"/>
      <c r="N85" s="19">
        <f>IF(SUM($K85:$M85)=0,"",SUM($K85:$M85)*(Paramètres!$B$3/(1+Paramètres!$B$3)))</f>
        <v/>
      </c>
      <c r="O85" s="20">
        <f>IF($H85="","",$H85-SUM($K85:$M85)+IF($N85="",0,$N85))</f>
        <v/>
      </c>
      <c r="P85" s="21">
        <f>IF($A85="","",YEAR($A85))</f>
        <v/>
      </c>
      <c r="Q85" s="21">
        <f>IF($A85="","",MONTH($A85))</f>
        <v/>
      </c>
    </row>
    <row r="86">
      <c r="A86" s="15" t="n"/>
      <c r="B86" s="16" t="n"/>
      <c r="C86" s="16" t="n"/>
      <c r="D86" s="16" t="n"/>
      <c r="E86" s="16" t="n"/>
      <c r="F86" s="16" t="n"/>
      <c r="G86" s="17" t="n"/>
      <c r="H86" s="18" t="n"/>
      <c r="I86" s="19">
        <f>IF($H86="","",$H86*Paramètres!$B$3)</f>
        <v/>
      </c>
      <c r="J86" s="19">
        <f>IF($H86="","",$H86+$I86)</f>
        <v/>
      </c>
      <c r="K86" s="18" t="n"/>
      <c r="L86" s="18" t="n"/>
      <c r="M86" s="18" t="n"/>
      <c r="N86" s="19">
        <f>IF(SUM($K86:$M86)=0,"",SUM($K86:$M86)*(Paramètres!$B$3/(1+Paramètres!$B$3)))</f>
        <v/>
      </c>
      <c r="O86" s="20">
        <f>IF($H86="","",$H86-SUM($K86:$M86)+IF($N86="",0,$N86))</f>
        <v/>
      </c>
      <c r="P86" s="21">
        <f>IF($A86="","",YEAR($A86))</f>
        <v/>
      </c>
      <c r="Q86" s="21">
        <f>IF($A86="","",MONTH($A86))</f>
        <v/>
      </c>
    </row>
    <row r="87">
      <c r="A87" s="15" t="n"/>
      <c r="B87" s="16" t="n"/>
      <c r="C87" s="16" t="n"/>
      <c r="D87" s="16" t="n"/>
      <c r="E87" s="16" t="n"/>
      <c r="F87" s="16" t="n"/>
      <c r="G87" s="17" t="n"/>
      <c r="H87" s="18" t="n"/>
      <c r="I87" s="19">
        <f>IF($H87="","",$H87*Paramètres!$B$3)</f>
        <v/>
      </c>
      <c r="J87" s="19">
        <f>IF($H87="","",$H87+$I87)</f>
        <v/>
      </c>
      <c r="K87" s="18" t="n"/>
      <c r="L87" s="18" t="n"/>
      <c r="M87" s="18" t="n"/>
      <c r="N87" s="19">
        <f>IF(SUM($K87:$M87)=0,"",SUM($K87:$M87)*(Paramètres!$B$3/(1+Paramètres!$B$3)))</f>
        <v/>
      </c>
      <c r="O87" s="20">
        <f>IF($H87="","",$H87-SUM($K87:$M87)+IF($N87="",0,$N87))</f>
        <v/>
      </c>
      <c r="P87" s="21">
        <f>IF($A87="","",YEAR($A87))</f>
        <v/>
      </c>
      <c r="Q87" s="21">
        <f>IF($A87="","",MONTH($A87))</f>
        <v/>
      </c>
    </row>
    <row r="88">
      <c r="A88" s="15" t="n"/>
      <c r="B88" s="16" t="n"/>
      <c r="C88" s="16" t="n"/>
      <c r="D88" s="16" t="n"/>
      <c r="E88" s="16" t="n"/>
      <c r="F88" s="16" t="n"/>
      <c r="G88" s="17" t="n"/>
      <c r="H88" s="18" t="n"/>
      <c r="I88" s="19">
        <f>IF($H88="","",$H88*Paramètres!$B$3)</f>
        <v/>
      </c>
      <c r="J88" s="19">
        <f>IF($H88="","",$H88+$I88)</f>
        <v/>
      </c>
      <c r="K88" s="18" t="n"/>
      <c r="L88" s="18" t="n"/>
      <c r="M88" s="18" t="n"/>
      <c r="N88" s="19">
        <f>IF(SUM($K88:$M88)=0,"",SUM($K88:$M88)*(Paramètres!$B$3/(1+Paramètres!$B$3)))</f>
        <v/>
      </c>
      <c r="O88" s="20">
        <f>IF($H88="","",$H88-SUM($K88:$M88)+IF($N88="",0,$N88))</f>
        <v/>
      </c>
      <c r="P88" s="21">
        <f>IF($A88="","",YEAR($A88))</f>
        <v/>
      </c>
      <c r="Q88" s="21">
        <f>IF($A88="","",MONTH($A88))</f>
        <v/>
      </c>
    </row>
    <row r="89">
      <c r="A89" s="15" t="n"/>
      <c r="B89" s="16" t="n"/>
      <c r="C89" s="16" t="n"/>
      <c r="D89" s="16" t="n"/>
      <c r="E89" s="16" t="n"/>
      <c r="F89" s="16" t="n"/>
      <c r="G89" s="17" t="n"/>
      <c r="H89" s="18" t="n"/>
      <c r="I89" s="19">
        <f>IF($H89="","",$H89*Paramètres!$B$3)</f>
        <v/>
      </c>
      <c r="J89" s="19">
        <f>IF($H89="","",$H89+$I89)</f>
        <v/>
      </c>
      <c r="K89" s="18" t="n"/>
      <c r="L89" s="18" t="n"/>
      <c r="M89" s="18" t="n"/>
      <c r="N89" s="19">
        <f>IF(SUM($K89:$M89)=0,"",SUM($K89:$M89)*(Paramètres!$B$3/(1+Paramètres!$B$3)))</f>
        <v/>
      </c>
      <c r="O89" s="20">
        <f>IF($H89="","",$H89-SUM($K89:$M89)+IF($N89="",0,$N89))</f>
        <v/>
      </c>
      <c r="P89" s="21">
        <f>IF($A89="","",YEAR($A89))</f>
        <v/>
      </c>
      <c r="Q89" s="21">
        <f>IF($A89="","",MONTH($A89))</f>
        <v/>
      </c>
    </row>
    <row r="90">
      <c r="A90" s="15" t="n"/>
      <c r="B90" s="16" t="n"/>
      <c r="C90" s="16" t="n"/>
      <c r="D90" s="16" t="n"/>
      <c r="E90" s="16" t="n"/>
      <c r="F90" s="16" t="n"/>
      <c r="G90" s="17" t="n"/>
      <c r="H90" s="18" t="n"/>
      <c r="I90" s="19">
        <f>IF($H90="","",$H90*Paramètres!$B$3)</f>
        <v/>
      </c>
      <c r="J90" s="19">
        <f>IF($H90="","",$H90+$I90)</f>
        <v/>
      </c>
      <c r="K90" s="18" t="n"/>
      <c r="L90" s="18" t="n"/>
      <c r="M90" s="18" t="n"/>
      <c r="N90" s="19">
        <f>IF(SUM($K90:$M90)=0,"",SUM($K90:$M90)*(Paramètres!$B$3/(1+Paramètres!$B$3)))</f>
        <v/>
      </c>
      <c r="O90" s="20">
        <f>IF($H90="","",$H90-SUM($K90:$M90)+IF($N90="",0,$N90))</f>
        <v/>
      </c>
      <c r="P90" s="21">
        <f>IF($A90="","",YEAR($A90))</f>
        <v/>
      </c>
      <c r="Q90" s="21">
        <f>IF($A90="","",MONTH($A90))</f>
        <v/>
      </c>
    </row>
    <row r="91">
      <c r="A91" s="15" t="n"/>
      <c r="B91" s="16" t="n"/>
      <c r="C91" s="16" t="n"/>
      <c r="D91" s="16" t="n"/>
      <c r="E91" s="16" t="n"/>
      <c r="F91" s="16" t="n"/>
      <c r="G91" s="17" t="n"/>
      <c r="H91" s="18" t="n"/>
      <c r="I91" s="19">
        <f>IF($H91="","",$H91*Paramètres!$B$3)</f>
        <v/>
      </c>
      <c r="J91" s="19">
        <f>IF($H91="","",$H91+$I91)</f>
        <v/>
      </c>
      <c r="K91" s="18" t="n"/>
      <c r="L91" s="18" t="n"/>
      <c r="M91" s="18" t="n"/>
      <c r="N91" s="19">
        <f>IF(SUM($K91:$M91)=0,"",SUM($K91:$M91)*(Paramètres!$B$3/(1+Paramètres!$B$3)))</f>
        <v/>
      </c>
      <c r="O91" s="20">
        <f>IF($H91="","",$H91-SUM($K91:$M91)+IF($N91="",0,$N91))</f>
        <v/>
      </c>
      <c r="P91" s="21">
        <f>IF($A91="","",YEAR($A91))</f>
        <v/>
      </c>
      <c r="Q91" s="21">
        <f>IF($A91="","",MONTH($A91))</f>
        <v/>
      </c>
    </row>
    <row r="92">
      <c r="A92" s="15" t="n"/>
      <c r="B92" s="16" t="n"/>
      <c r="C92" s="16" t="n"/>
      <c r="D92" s="16" t="n"/>
      <c r="E92" s="16" t="n"/>
      <c r="F92" s="16" t="n"/>
      <c r="G92" s="17" t="n"/>
      <c r="H92" s="18" t="n"/>
      <c r="I92" s="19">
        <f>IF($H92="","",$H92*Paramètres!$B$3)</f>
        <v/>
      </c>
      <c r="J92" s="19">
        <f>IF($H92="","",$H92+$I92)</f>
        <v/>
      </c>
      <c r="K92" s="18" t="n"/>
      <c r="L92" s="18" t="n"/>
      <c r="M92" s="18" t="n"/>
      <c r="N92" s="19">
        <f>IF(SUM($K92:$M92)=0,"",SUM($K92:$M92)*(Paramètres!$B$3/(1+Paramètres!$B$3)))</f>
        <v/>
      </c>
      <c r="O92" s="20">
        <f>IF($H92="","",$H92-SUM($K92:$M92)+IF($N92="",0,$N92))</f>
        <v/>
      </c>
      <c r="P92" s="21">
        <f>IF($A92="","",YEAR($A92))</f>
        <v/>
      </c>
      <c r="Q92" s="21">
        <f>IF($A92="","",MONTH($A92))</f>
        <v/>
      </c>
    </row>
    <row r="93">
      <c r="A93" s="15" t="n"/>
      <c r="B93" s="16" t="n"/>
      <c r="C93" s="16" t="n"/>
      <c r="D93" s="16" t="n"/>
      <c r="E93" s="16" t="n"/>
      <c r="F93" s="16" t="n"/>
      <c r="G93" s="17" t="n"/>
      <c r="H93" s="18" t="n"/>
      <c r="I93" s="19">
        <f>IF($H93="","",$H93*Paramètres!$B$3)</f>
        <v/>
      </c>
      <c r="J93" s="19">
        <f>IF($H93="","",$H93+$I93)</f>
        <v/>
      </c>
      <c r="K93" s="18" t="n"/>
      <c r="L93" s="18" t="n"/>
      <c r="M93" s="18" t="n"/>
      <c r="N93" s="19">
        <f>IF(SUM($K93:$M93)=0,"",SUM($K93:$M93)*(Paramètres!$B$3/(1+Paramètres!$B$3)))</f>
        <v/>
      </c>
      <c r="O93" s="20">
        <f>IF($H93="","",$H93-SUM($K93:$M93)+IF($N93="",0,$N93))</f>
        <v/>
      </c>
      <c r="P93" s="21">
        <f>IF($A93="","",YEAR($A93))</f>
        <v/>
      </c>
      <c r="Q93" s="21">
        <f>IF($A93="","",MONTH($A93))</f>
        <v/>
      </c>
    </row>
    <row r="94">
      <c r="A94" s="15" t="n"/>
      <c r="B94" s="16" t="n"/>
      <c r="C94" s="16" t="n"/>
      <c r="D94" s="16" t="n"/>
      <c r="E94" s="16" t="n"/>
      <c r="F94" s="16" t="n"/>
      <c r="G94" s="17" t="n"/>
      <c r="H94" s="18" t="n"/>
      <c r="I94" s="19">
        <f>IF($H94="","",$H94*Paramètres!$B$3)</f>
        <v/>
      </c>
      <c r="J94" s="19">
        <f>IF($H94="","",$H94+$I94)</f>
        <v/>
      </c>
      <c r="K94" s="18" t="n"/>
      <c r="L94" s="18" t="n"/>
      <c r="M94" s="18" t="n"/>
      <c r="N94" s="19">
        <f>IF(SUM($K94:$M94)=0,"",SUM($K94:$M94)*(Paramètres!$B$3/(1+Paramètres!$B$3)))</f>
        <v/>
      </c>
      <c r="O94" s="20">
        <f>IF($H94="","",$H94-SUM($K94:$M94)+IF($N94="",0,$N94))</f>
        <v/>
      </c>
      <c r="P94" s="21">
        <f>IF($A94="","",YEAR($A94))</f>
        <v/>
      </c>
      <c r="Q94" s="21">
        <f>IF($A94="","",MONTH($A94))</f>
        <v/>
      </c>
    </row>
    <row r="95">
      <c r="A95" s="15" t="n"/>
      <c r="B95" s="16" t="n"/>
      <c r="C95" s="16" t="n"/>
      <c r="D95" s="16" t="n"/>
      <c r="E95" s="16" t="n"/>
      <c r="F95" s="16" t="n"/>
      <c r="G95" s="17" t="n"/>
      <c r="H95" s="18" t="n"/>
      <c r="I95" s="19">
        <f>IF($H95="","",$H95*Paramètres!$B$3)</f>
        <v/>
      </c>
      <c r="J95" s="19">
        <f>IF($H95="","",$H95+$I95)</f>
        <v/>
      </c>
      <c r="K95" s="18" t="n"/>
      <c r="L95" s="18" t="n"/>
      <c r="M95" s="18" t="n"/>
      <c r="N95" s="19">
        <f>IF(SUM($K95:$M95)=0,"",SUM($K95:$M95)*(Paramètres!$B$3/(1+Paramètres!$B$3)))</f>
        <v/>
      </c>
      <c r="O95" s="20">
        <f>IF($H95="","",$H95-SUM($K95:$M95)+IF($N95="",0,$N95))</f>
        <v/>
      </c>
      <c r="P95" s="21">
        <f>IF($A95="","",YEAR($A95))</f>
        <v/>
      </c>
      <c r="Q95" s="21">
        <f>IF($A95="","",MONTH($A95))</f>
        <v/>
      </c>
    </row>
    <row r="96">
      <c r="A96" s="15" t="n"/>
      <c r="B96" s="16" t="n"/>
      <c r="C96" s="16" t="n"/>
      <c r="D96" s="16" t="n"/>
      <c r="E96" s="16" t="n"/>
      <c r="F96" s="16" t="n"/>
      <c r="G96" s="17" t="n"/>
      <c r="H96" s="18" t="n"/>
      <c r="I96" s="19">
        <f>IF($H96="","",$H96*Paramètres!$B$3)</f>
        <v/>
      </c>
      <c r="J96" s="19">
        <f>IF($H96="","",$H96+$I96)</f>
        <v/>
      </c>
      <c r="K96" s="18" t="n"/>
      <c r="L96" s="18" t="n"/>
      <c r="M96" s="18" t="n"/>
      <c r="N96" s="19">
        <f>IF(SUM($K96:$M96)=0,"",SUM($K96:$M96)*(Paramètres!$B$3/(1+Paramètres!$B$3)))</f>
        <v/>
      </c>
      <c r="O96" s="20">
        <f>IF($H96="","",$H96-SUM($K96:$M96)+IF($N96="",0,$N96))</f>
        <v/>
      </c>
      <c r="P96" s="21">
        <f>IF($A96="","",YEAR($A96))</f>
        <v/>
      </c>
      <c r="Q96" s="21">
        <f>IF($A96="","",MONTH($A96))</f>
        <v/>
      </c>
    </row>
    <row r="97">
      <c r="A97" s="15" t="n"/>
      <c r="B97" s="16" t="n"/>
      <c r="C97" s="16" t="n"/>
      <c r="D97" s="16" t="n"/>
      <c r="E97" s="16" t="n"/>
      <c r="F97" s="16" t="n"/>
      <c r="G97" s="17" t="n"/>
      <c r="H97" s="18" t="n"/>
      <c r="I97" s="19">
        <f>IF($H97="","",$H97*Paramètres!$B$3)</f>
        <v/>
      </c>
      <c r="J97" s="19">
        <f>IF($H97="","",$H97+$I97)</f>
        <v/>
      </c>
      <c r="K97" s="18" t="n"/>
      <c r="L97" s="18" t="n"/>
      <c r="M97" s="18" t="n"/>
      <c r="N97" s="19">
        <f>IF(SUM($K97:$M97)=0,"",SUM($K97:$M97)*(Paramètres!$B$3/(1+Paramètres!$B$3)))</f>
        <v/>
      </c>
      <c r="O97" s="20">
        <f>IF($H97="","",$H97-SUM($K97:$M97)+IF($N97="",0,$N97))</f>
        <v/>
      </c>
      <c r="P97" s="21">
        <f>IF($A97="","",YEAR($A97))</f>
        <v/>
      </c>
      <c r="Q97" s="21">
        <f>IF($A97="","",MONTH($A97))</f>
        <v/>
      </c>
    </row>
    <row r="98">
      <c r="A98" s="15" t="n"/>
      <c r="B98" s="16" t="n"/>
      <c r="C98" s="16" t="n"/>
      <c r="D98" s="16" t="n"/>
      <c r="E98" s="16" t="n"/>
      <c r="F98" s="16" t="n"/>
      <c r="G98" s="17" t="n"/>
      <c r="H98" s="18" t="n"/>
      <c r="I98" s="19">
        <f>IF($H98="","",$H98*Paramètres!$B$3)</f>
        <v/>
      </c>
      <c r="J98" s="19">
        <f>IF($H98="","",$H98+$I98)</f>
        <v/>
      </c>
      <c r="K98" s="18" t="n"/>
      <c r="L98" s="18" t="n"/>
      <c r="M98" s="18" t="n"/>
      <c r="N98" s="19">
        <f>IF(SUM($K98:$M98)=0,"",SUM($K98:$M98)*(Paramètres!$B$3/(1+Paramètres!$B$3)))</f>
        <v/>
      </c>
      <c r="O98" s="20">
        <f>IF($H98="","",$H98-SUM($K98:$M98)+IF($N98="",0,$N98))</f>
        <v/>
      </c>
      <c r="P98" s="21">
        <f>IF($A98="","",YEAR($A98))</f>
        <v/>
      </c>
      <c r="Q98" s="21">
        <f>IF($A98="","",MONTH($A98))</f>
        <v/>
      </c>
    </row>
    <row r="99">
      <c r="A99" s="15" t="n"/>
      <c r="B99" s="16" t="n"/>
      <c r="C99" s="16" t="n"/>
      <c r="D99" s="16" t="n"/>
      <c r="E99" s="16" t="n"/>
      <c r="F99" s="16" t="n"/>
      <c r="G99" s="17" t="n"/>
      <c r="H99" s="18" t="n"/>
      <c r="I99" s="19">
        <f>IF($H99="","",$H99*Paramètres!$B$3)</f>
        <v/>
      </c>
      <c r="J99" s="19">
        <f>IF($H99="","",$H99+$I99)</f>
        <v/>
      </c>
      <c r="K99" s="18" t="n"/>
      <c r="L99" s="18" t="n"/>
      <c r="M99" s="18" t="n"/>
      <c r="N99" s="19">
        <f>IF(SUM($K99:$M99)=0,"",SUM($K99:$M99)*(Paramètres!$B$3/(1+Paramètres!$B$3)))</f>
        <v/>
      </c>
      <c r="O99" s="20">
        <f>IF($H99="","",$H99-SUM($K99:$M99)+IF($N99="",0,$N99))</f>
        <v/>
      </c>
      <c r="P99" s="21">
        <f>IF($A99="","",YEAR($A99))</f>
        <v/>
      </c>
      <c r="Q99" s="21">
        <f>IF($A99="","",MONTH($A99))</f>
        <v/>
      </c>
    </row>
    <row r="100">
      <c r="A100" s="15" t="n"/>
      <c r="B100" s="16" t="n"/>
      <c r="C100" s="16" t="n"/>
      <c r="D100" s="16" t="n"/>
      <c r="E100" s="16" t="n"/>
      <c r="F100" s="16" t="n"/>
      <c r="G100" s="17" t="n"/>
      <c r="H100" s="18" t="n"/>
      <c r="I100" s="19">
        <f>IF($H100="","",$H100*Paramètres!$B$3)</f>
        <v/>
      </c>
      <c r="J100" s="19">
        <f>IF($H100="","",$H100+$I100)</f>
        <v/>
      </c>
      <c r="K100" s="18" t="n"/>
      <c r="L100" s="18" t="n"/>
      <c r="M100" s="18" t="n"/>
      <c r="N100" s="19">
        <f>IF(SUM($K100:$M100)=0,"",SUM($K100:$M100)*(Paramètres!$B$3/(1+Paramètres!$B$3)))</f>
        <v/>
      </c>
      <c r="O100" s="20">
        <f>IF($H100="","",$H100-SUM($K100:$M100)+IF($N100="",0,$N100))</f>
        <v/>
      </c>
      <c r="P100" s="21">
        <f>IF($A100="","",YEAR($A100))</f>
        <v/>
      </c>
      <c r="Q100" s="21">
        <f>IF($A100="","",MONTH($A100))</f>
        <v/>
      </c>
    </row>
    <row r="101">
      <c r="A101" s="15" t="n"/>
      <c r="B101" s="16" t="n"/>
      <c r="C101" s="16" t="n"/>
      <c r="D101" s="16" t="n"/>
      <c r="E101" s="16" t="n"/>
      <c r="F101" s="16" t="n"/>
      <c r="G101" s="17" t="n"/>
      <c r="H101" s="18" t="n"/>
      <c r="I101" s="19">
        <f>IF($H101="","",$H101*Paramètres!$B$3)</f>
        <v/>
      </c>
      <c r="J101" s="19">
        <f>IF($H101="","",$H101+$I101)</f>
        <v/>
      </c>
      <c r="K101" s="18" t="n"/>
      <c r="L101" s="18" t="n"/>
      <c r="M101" s="18" t="n"/>
      <c r="N101" s="19">
        <f>IF(SUM($K101:$M101)=0,"",SUM($K101:$M101)*(Paramètres!$B$3/(1+Paramètres!$B$3)))</f>
        <v/>
      </c>
      <c r="O101" s="20">
        <f>IF($H101="","",$H101-SUM($K101:$M101)+IF($N101="",0,$N101))</f>
        <v/>
      </c>
      <c r="P101" s="21">
        <f>IF($A101="","",YEAR($A101))</f>
        <v/>
      </c>
      <c r="Q101" s="21">
        <f>IF($A101="","",MONTH($A101))</f>
        <v/>
      </c>
    </row>
    <row r="102">
      <c r="A102" s="15" t="n"/>
      <c r="B102" s="16" t="n"/>
      <c r="C102" s="16" t="n"/>
      <c r="D102" s="16" t="n"/>
      <c r="E102" s="16" t="n"/>
      <c r="F102" s="16" t="n"/>
      <c r="G102" s="17" t="n"/>
      <c r="H102" s="18" t="n"/>
      <c r="I102" s="19">
        <f>IF($H102="","",$H102*Paramètres!$B$3)</f>
        <v/>
      </c>
      <c r="J102" s="19">
        <f>IF($H102="","",$H102+$I102)</f>
        <v/>
      </c>
      <c r="K102" s="18" t="n"/>
      <c r="L102" s="18" t="n"/>
      <c r="M102" s="18" t="n"/>
      <c r="N102" s="19">
        <f>IF(SUM($K102:$M102)=0,"",SUM($K102:$M102)*(Paramètres!$B$3/(1+Paramètres!$B$3)))</f>
        <v/>
      </c>
      <c r="O102" s="20">
        <f>IF($H102="","",$H102-SUM($K102:$M102)+IF($N102="",0,$N102))</f>
        <v/>
      </c>
      <c r="P102" s="21">
        <f>IF($A102="","",YEAR($A102))</f>
        <v/>
      </c>
      <c r="Q102" s="21">
        <f>IF($A102="","",MONTH($A102))</f>
        <v/>
      </c>
    </row>
    <row r="103">
      <c r="A103" s="15" t="n"/>
      <c r="B103" s="16" t="n"/>
      <c r="C103" s="16" t="n"/>
      <c r="D103" s="16" t="n"/>
      <c r="E103" s="16" t="n"/>
      <c r="F103" s="16" t="n"/>
      <c r="G103" s="17" t="n"/>
      <c r="H103" s="18" t="n"/>
      <c r="I103" s="19">
        <f>IF($H103="","",$H103*Paramètres!$B$3)</f>
        <v/>
      </c>
      <c r="J103" s="19">
        <f>IF($H103="","",$H103+$I103)</f>
        <v/>
      </c>
      <c r="K103" s="18" t="n"/>
      <c r="L103" s="18" t="n"/>
      <c r="M103" s="18" t="n"/>
      <c r="N103" s="19">
        <f>IF(SUM($K103:$M103)=0,"",SUM($K103:$M103)*(Paramètres!$B$3/(1+Paramètres!$B$3)))</f>
        <v/>
      </c>
      <c r="O103" s="20">
        <f>IF($H103="","",$H103-SUM($K103:$M103)+IF($N103="",0,$N103))</f>
        <v/>
      </c>
      <c r="P103" s="21">
        <f>IF($A103="","",YEAR($A103))</f>
        <v/>
      </c>
      <c r="Q103" s="21">
        <f>IF($A103="","",MONTH($A103))</f>
        <v/>
      </c>
    </row>
    <row r="104">
      <c r="A104" s="15" t="n"/>
      <c r="B104" s="16" t="n"/>
      <c r="C104" s="16" t="n"/>
      <c r="D104" s="16" t="n"/>
      <c r="E104" s="16" t="n"/>
      <c r="F104" s="16" t="n"/>
      <c r="G104" s="17" t="n"/>
      <c r="H104" s="18" t="n"/>
      <c r="I104" s="19">
        <f>IF($H104="","",$H104*Paramètres!$B$3)</f>
        <v/>
      </c>
      <c r="J104" s="19">
        <f>IF($H104="","",$H104+$I104)</f>
        <v/>
      </c>
      <c r="K104" s="18" t="n"/>
      <c r="L104" s="18" t="n"/>
      <c r="M104" s="18" t="n"/>
      <c r="N104" s="19">
        <f>IF(SUM($K104:$M104)=0,"",SUM($K104:$M104)*(Paramètres!$B$3/(1+Paramètres!$B$3)))</f>
        <v/>
      </c>
      <c r="O104" s="20">
        <f>IF($H104="","",$H104-SUM($K104:$M104)+IF($N104="",0,$N104))</f>
        <v/>
      </c>
      <c r="P104" s="21">
        <f>IF($A104="","",YEAR($A104))</f>
        <v/>
      </c>
      <c r="Q104" s="21">
        <f>IF($A104="","",MONTH($A104))</f>
        <v/>
      </c>
    </row>
    <row r="105">
      <c r="A105" s="15" t="n"/>
      <c r="B105" s="16" t="n"/>
      <c r="C105" s="16" t="n"/>
      <c r="D105" s="16" t="n"/>
      <c r="E105" s="16" t="n"/>
      <c r="F105" s="16" t="n"/>
      <c r="G105" s="17" t="n"/>
      <c r="H105" s="18" t="n"/>
      <c r="I105" s="19">
        <f>IF($H105="","",$H105*Paramètres!$B$3)</f>
        <v/>
      </c>
      <c r="J105" s="19">
        <f>IF($H105="","",$H105+$I105)</f>
        <v/>
      </c>
      <c r="K105" s="18" t="n"/>
      <c r="L105" s="18" t="n"/>
      <c r="M105" s="18" t="n"/>
      <c r="N105" s="19">
        <f>IF(SUM($K105:$M105)=0,"",SUM($K105:$M105)*(Paramètres!$B$3/(1+Paramètres!$B$3)))</f>
        <v/>
      </c>
      <c r="O105" s="20">
        <f>IF($H105="","",$H105-SUM($K105:$M105)+IF($N105="",0,$N105))</f>
        <v/>
      </c>
      <c r="P105" s="21">
        <f>IF($A105="","",YEAR($A105))</f>
        <v/>
      </c>
      <c r="Q105" s="21">
        <f>IF($A105="","",MONTH($A105))</f>
        <v/>
      </c>
    </row>
    <row r="106">
      <c r="A106" s="15" t="n"/>
      <c r="B106" s="16" t="n"/>
      <c r="C106" s="16" t="n"/>
      <c r="D106" s="16" t="n"/>
      <c r="E106" s="16" t="n"/>
      <c r="F106" s="16" t="n"/>
      <c r="G106" s="17" t="n"/>
      <c r="H106" s="18" t="n"/>
      <c r="I106" s="19">
        <f>IF($H106="","",$H106*Paramètres!$B$3)</f>
        <v/>
      </c>
      <c r="J106" s="19">
        <f>IF($H106="","",$H106+$I106)</f>
        <v/>
      </c>
      <c r="K106" s="18" t="n"/>
      <c r="L106" s="18" t="n"/>
      <c r="M106" s="18" t="n"/>
      <c r="N106" s="19">
        <f>IF(SUM($K106:$M106)=0,"",SUM($K106:$M106)*(Paramètres!$B$3/(1+Paramètres!$B$3)))</f>
        <v/>
      </c>
      <c r="O106" s="20">
        <f>IF($H106="","",$H106-SUM($K106:$M106)+IF($N106="",0,$N106))</f>
        <v/>
      </c>
      <c r="P106" s="21">
        <f>IF($A106="","",YEAR($A106))</f>
        <v/>
      </c>
      <c r="Q106" s="21">
        <f>IF($A106="","",MONTH($A106))</f>
        <v/>
      </c>
    </row>
    <row r="107">
      <c r="A107" s="15" t="n"/>
      <c r="B107" s="16" t="n"/>
      <c r="C107" s="16" t="n"/>
      <c r="D107" s="16" t="n"/>
      <c r="E107" s="16" t="n"/>
      <c r="F107" s="16" t="n"/>
      <c r="G107" s="17" t="n"/>
      <c r="H107" s="18" t="n"/>
      <c r="I107" s="19">
        <f>IF($H107="","",$H107*Paramètres!$B$3)</f>
        <v/>
      </c>
      <c r="J107" s="19">
        <f>IF($H107="","",$H107+$I107)</f>
        <v/>
      </c>
      <c r="K107" s="18" t="n"/>
      <c r="L107" s="18" t="n"/>
      <c r="M107" s="18" t="n"/>
      <c r="N107" s="19">
        <f>IF(SUM($K107:$M107)=0,"",SUM($K107:$M107)*(Paramètres!$B$3/(1+Paramètres!$B$3)))</f>
        <v/>
      </c>
      <c r="O107" s="20">
        <f>IF($H107="","",$H107-SUM($K107:$M107)+IF($N107="",0,$N107))</f>
        <v/>
      </c>
      <c r="P107" s="21">
        <f>IF($A107="","",YEAR($A107))</f>
        <v/>
      </c>
      <c r="Q107" s="21">
        <f>IF($A107="","",MONTH($A107))</f>
        <v/>
      </c>
    </row>
    <row r="108">
      <c r="A108" s="15" t="n"/>
      <c r="B108" s="16" t="n"/>
      <c r="C108" s="16" t="n"/>
      <c r="D108" s="16" t="n"/>
      <c r="E108" s="16" t="n"/>
      <c r="F108" s="16" t="n"/>
      <c r="G108" s="17" t="n"/>
      <c r="H108" s="18" t="n"/>
      <c r="I108" s="19">
        <f>IF($H108="","",$H108*Paramètres!$B$3)</f>
        <v/>
      </c>
      <c r="J108" s="19">
        <f>IF($H108="","",$H108+$I108)</f>
        <v/>
      </c>
      <c r="K108" s="18" t="n"/>
      <c r="L108" s="18" t="n"/>
      <c r="M108" s="18" t="n"/>
      <c r="N108" s="19">
        <f>IF(SUM($K108:$M108)=0,"",SUM($K108:$M108)*(Paramètres!$B$3/(1+Paramètres!$B$3)))</f>
        <v/>
      </c>
      <c r="O108" s="20">
        <f>IF($H108="","",$H108-SUM($K108:$M108)+IF($N108="",0,$N108))</f>
        <v/>
      </c>
      <c r="P108" s="21">
        <f>IF($A108="","",YEAR($A108))</f>
        <v/>
      </c>
      <c r="Q108" s="21">
        <f>IF($A108="","",MONTH($A108))</f>
        <v/>
      </c>
    </row>
    <row r="109">
      <c r="A109" s="15" t="n"/>
      <c r="B109" s="16" t="n"/>
      <c r="C109" s="16" t="n"/>
      <c r="D109" s="16" t="n"/>
      <c r="E109" s="16" t="n"/>
      <c r="F109" s="16" t="n"/>
      <c r="G109" s="17" t="n"/>
      <c r="H109" s="18" t="n"/>
      <c r="I109" s="19">
        <f>IF($H109="","",$H109*Paramètres!$B$3)</f>
        <v/>
      </c>
      <c r="J109" s="19">
        <f>IF($H109="","",$H109+$I109)</f>
        <v/>
      </c>
      <c r="K109" s="18" t="n"/>
      <c r="L109" s="18" t="n"/>
      <c r="M109" s="18" t="n"/>
      <c r="N109" s="19">
        <f>IF(SUM($K109:$M109)=0,"",SUM($K109:$M109)*(Paramètres!$B$3/(1+Paramètres!$B$3)))</f>
        <v/>
      </c>
      <c r="O109" s="20">
        <f>IF($H109="","",$H109-SUM($K109:$M109)+IF($N109="",0,$N109))</f>
        <v/>
      </c>
      <c r="P109" s="21">
        <f>IF($A109="","",YEAR($A109))</f>
        <v/>
      </c>
      <c r="Q109" s="21">
        <f>IF($A109="","",MONTH($A109))</f>
        <v/>
      </c>
    </row>
    <row r="110">
      <c r="A110" s="15" t="n"/>
      <c r="B110" s="16" t="n"/>
      <c r="C110" s="16" t="n"/>
      <c r="D110" s="16" t="n"/>
      <c r="E110" s="16" t="n"/>
      <c r="F110" s="16" t="n"/>
      <c r="G110" s="17" t="n"/>
      <c r="H110" s="18" t="n"/>
      <c r="I110" s="19">
        <f>IF($H110="","",$H110*Paramètres!$B$3)</f>
        <v/>
      </c>
      <c r="J110" s="19">
        <f>IF($H110="","",$H110+$I110)</f>
        <v/>
      </c>
      <c r="K110" s="18" t="n"/>
      <c r="L110" s="18" t="n"/>
      <c r="M110" s="18" t="n"/>
      <c r="N110" s="19">
        <f>IF(SUM($K110:$M110)=0,"",SUM($K110:$M110)*(Paramètres!$B$3/(1+Paramètres!$B$3)))</f>
        <v/>
      </c>
      <c r="O110" s="20">
        <f>IF($H110="","",$H110-SUM($K110:$M110)+IF($N110="",0,$N110))</f>
        <v/>
      </c>
      <c r="P110" s="21">
        <f>IF($A110="","",YEAR($A110))</f>
        <v/>
      </c>
      <c r="Q110" s="21">
        <f>IF($A110="","",MONTH($A110))</f>
        <v/>
      </c>
    </row>
    <row r="111">
      <c r="A111" s="15" t="n"/>
      <c r="B111" s="16" t="n"/>
      <c r="C111" s="16" t="n"/>
      <c r="D111" s="16" t="n"/>
      <c r="E111" s="16" t="n"/>
      <c r="F111" s="16" t="n"/>
      <c r="G111" s="17" t="n"/>
      <c r="H111" s="18" t="n"/>
      <c r="I111" s="19">
        <f>IF($H111="","",$H111*Paramètres!$B$3)</f>
        <v/>
      </c>
      <c r="J111" s="19">
        <f>IF($H111="","",$H111+$I111)</f>
        <v/>
      </c>
      <c r="K111" s="18" t="n"/>
      <c r="L111" s="18" t="n"/>
      <c r="M111" s="18" t="n"/>
      <c r="N111" s="19">
        <f>IF(SUM($K111:$M111)=0,"",SUM($K111:$M111)*(Paramètres!$B$3/(1+Paramètres!$B$3)))</f>
        <v/>
      </c>
      <c r="O111" s="20">
        <f>IF($H111="","",$H111-SUM($K111:$M111)+IF($N111="",0,$N111))</f>
        <v/>
      </c>
      <c r="P111" s="21">
        <f>IF($A111="","",YEAR($A111))</f>
        <v/>
      </c>
      <c r="Q111" s="21">
        <f>IF($A111="","",MONTH($A111))</f>
        <v/>
      </c>
    </row>
    <row r="112">
      <c r="A112" s="15" t="n"/>
      <c r="B112" s="16" t="n"/>
      <c r="C112" s="16" t="n"/>
      <c r="D112" s="16" t="n"/>
      <c r="E112" s="16" t="n"/>
      <c r="F112" s="16" t="n"/>
      <c r="G112" s="17" t="n"/>
      <c r="H112" s="18" t="n"/>
      <c r="I112" s="19">
        <f>IF($H112="","",$H112*Paramètres!$B$3)</f>
        <v/>
      </c>
      <c r="J112" s="19">
        <f>IF($H112="","",$H112+$I112)</f>
        <v/>
      </c>
      <c r="K112" s="18" t="n"/>
      <c r="L112" s="18" t="n"/>
      <c r="M112" s="18" t="n"/>
      <c r="N112" s="19">
        <f>IF(SUM($K112:$M112)=0,"",SUM($K112:$M112)*(Paramètres!$B$3/(1+Paramètres!$B$3)))</f>
        <v/>
      </c>
      <c r="O112" s="20">
        <f>IF($H112="","",$H112-SUM($K112:$M112)+IF($N112="",0,$N112))</f>
        <v/>
      </c>
      <c r="P112" s="21">
        <f>IF($A112="","",YEAR($A112))</f>
        <v/>
      </c>
      <c r="Q112" s="21">
        <f>IF($A112="","",MONTH($A112))</f>
        <v/>
      </c>
    </row>
    <row r="113">
      <c r="A113" s="15" t="n"/>
      <c r="B113" s="16" t="n"/>
      <c r="C113" s="16" t="n"/>
      <c r="D113" s="16" t="n"/>
      <c r="E113" s="16" t="n"/>
      <c r="F113" s="16" t="n"/>
      <c r="G113" s="17" t="n"/>
      <c r="H113" s="18" t="n"/>
      <c r="I113" s="19">
        <f>IF($H113="","",$H113*Paramètres!$B$3)</f>
        <v/>
      </c>
      <c r="J113" s="19">
        <f>IF($H113="","",$H113+$I113)</f>
        <v/>
      </c>
      <c r="K113" s="18" t="n"/>
      <c r="L113" s="18" t="n"/>
      <c r="M113" s="18" t="n"/>
      <c r="N113" s="19">
        <f>IF(SUM($K113:$M113)=0,"",SUM($K113:$M113)*(Paramètres!$B$3/(1+Paramètres!$B$3)))</f>
        <v/>
      </c>
      <c r="O113" s="20">
        <f>IF($H113="","",$H113-SUM($K113:$M113)+IF($N113="",0,$N113))</f>
        <v/>
      </c>
      <c r="P113" s="21">
        <f>IF($A113="","",YEAR($A113))</f>
        <v/>
      </c>
      <c r="Q113" s="21">
        <f>IF($A113="","",MONTH($A113))</f>
        <v/>
      </c>
    </row>
    <row r="114">
      <c r="A114" s="15" t="n"/>
      <c r="B114" s="16" t="n"/>
      <c r="C114" s="16" t="n"/>
      <c r="D114" s="16" t="n"/>
      <c r="E114" s="16" t="n"/>
      <c r="F114" s="16" t="n"/>
      <c r="G114" s="17" t="n"/>
      <c r="H114" s="18" t="n"/>
      <c r="I114" s="19">
        <f>IF($H114="","",$H114*Paramètres!$B$3)</f>
        <v/>
      </c>
      <c r="J114" s="19">
        <f>IF($H114="","",$H114+$I114)</f>
        <v/>
      </c>
      <c r="K114" s="18" t="n"/>
      <c r="L114" s="18" t="n"/>
      <c r="M114" s="18" t="n"/>
      <c r="N114" s="19">
        <f>IF(SUM($K114:$M114)=0,"",SUM($K114:$M114)*(Paramètres!$B$3/(1+Paramètres!$B$3)))</f>
        <v/>
      </c>
      <c r="O114" s="20">
        <f>IF($H114="","",$H114-SUM($K114:$M114)+IF($N114="",0,$N114))</f>
        <v/>
      </c>
      <c r="P114" s="21">
        <f>IF($A114="","",YEAR($A114))</f>
        <v/>
      </c>
      <c r="Q114" s="21">
        <f>IF($A114="","",MONTH($A114))</f>
        <v/>
      </c>
    </row>
    <row r="115">
      <c r="A115" s="15" t="n"/>
      <c r="B115" s="16" t="n"/>
      <c r="C115" s="16" t="n"/>
      <c r="D115" s="16" t="n"/>
      <c r="E115" s="16" t="n"/>
      <c r="F115" s="16" t="n"/>
      <c r="G115" s="17" t="n"/>
      <c r="H115" s="18" t="n"/>
      <c r="I115" s="19">
        <f>IF($H115="","",$H115*Paramètres!$B$3)</f>
        <v/>
      </c>
      <c r="J115" s="19">
        <f>IF($H115="","",$H115+$I115)</f>
        <v/>
      </c>
      <c r="K115" s="18" t="n"/>
      <c r="L115" s="18" t="n"/>
      <c r="M115" s="18" t="n"/>
      <c r="N115" s="19">
        <f>IF(SUM($K115:$M115)=0,"",SUM($K115:$M115)*(Paramètres!$B$3/(1+Paramètres!$B$3)))</f>
        <v/>
      </c>
      <c r="O115" s="20">
        <f>IF($H115="","",$H115-SUM($K115:$M115)+IF($N115="",0,$N115))</f>
        <v/>
      </c>
      <c r="P115" s="21">
        <f>IF($A115="","",YEAR($A115))</f>
        <v/>
      </c>
      <c r="Q115" s="21">
        <f>IF($A115="","",MONTH($A115))</f>
        <v/>
      </c>
    </row>
    <row r="116">
      <c r="A116" s="15" t="n"/>
      <c r="B116" s="16" t="n"/>
      <c r="C116" s="16" t="n"/>
      <c r="D116" s="16" t="n"/>
      <c r="E116" s="16" t="n"/>
      <c r="F116" s="16" t="n"/>
      <c r="G116" s="17" t="n"/>
      <c r="H116" s="18" t="n"/>
      <c r="I116" s="19">
        <f>IF($H116="","",$H116*Paramètres!$B$3)</f>
        <v/>
      </c>
      <c r="J116" s="19">
        <f>IF($H116="","",$H116+$I116)</f>
        <v/>
      </c>
      <c r="K116" s="18" t="n"/>
      <c r="L116" s="18" t="n"/>
      <c r="M116" s="18" t="n"/>
      <c r="N116" s="19">
        <f>IF(SUM($K116:$M116)=0,"",SUM($K116:$M116)*(Paramètres!$B$3/(1+Paramètres!$B$3)))</f>
        <v/>
      </c>
      <c r="O116" s="20">
        <f>IF($H116="","",$H116-SUM($K116:$M116)+IF($N116="",0,$N116))</f>
        <v/>
      </c>
      <c r="P116" s="21">
        <f>IF($A116="","",YEAR($A116))</f>
        <v/>
      </c>
      <c r="Q116" s="21">
        <f>IF($A116="","",MONTH($A116))</f>
        <v/>
      </c>
    </row>
    <row r="117">
      <c r="A117" s="15" t="n"/>
      <c r="B117" s="16" t="n"/>
      <c r="C117" s="16" t="n"/>
      <c r="D117" s="16" t="n"/>
      <c r="E117" s="16" t="n"/>
      <c r="F117" s="16" t="n"/>
      <c r="G117" s="17" t="n"/>
      <c r="H117" s="18" t="n"/>
      <c r="I117" s="19">
        <f>IF($H117="","",$H117*Paramètres!$B$3)</f>
        <v/>
      </c>
      <c r="J117" s="19">
        <f>IF($H117="","",$H117+$I117)</f>
        <v/>
      </c>
      <c r="K117" s="18" t="n"/>
      <c r="L117" s="18" t="n"/>
      <c r="M117" s="18" t="n"/>
      <c r="N117" s="19">
        <f>IF(SUM($K117:$M117)=0,"",SUM($K117:$M117)*(Paramètres!$B$3/(1+Paramètres!$B$3)))</f>
        <v/>
      </c>
      <c r="O117" s="20">
        <f>IF($H117="","",$H117-SUM($K117:$M117)+IF($N117="",0,$N117))</f>
        <v/>
      </c>
      <c r="P117" s="21">
        <f>IF($A117="","",YEAR($A117))</f>
        <v/>
      </c>
      <c r="Q117" s="21">
        <f>IF($A117="","",MONTH($A117))</f>
        <v/>
      </c>
    </row>
    <row r="118">
      <c r="A118" s="15" t="n"/>
      <c r="B118" s="16" t="n"/>
      <c r="C118" s="16" t="n"/>
      <c r="D118" s="16" t="n"/>
      <c r="E118" s="16" t="n"/>
      <c r="F118" s="16" t="n"/>
      <c r="G118" s="17" t="n"/>
      <c r="H118" s="18" t="n"/>
      <c r="I118" s="19">
        <f>IF($H118="","",$H118*Paramètres!$B$3)</f>
        <v/>
      </c>
      <c r="J118" s="19">
        <f>IF($H118="","",$H118+$I118)</f>
        <v/>
      </c>
      <c r="K118" s="18" t="n"/>
      <c r="L118" s="18" t="n"/>
      <c r="M118" s="18" t="n"/>
      <c r="N118" s="19">
        <f>IF(SUM($K118:$M118)=0,"",SUM($K118:$M118)*(Paramètres!$B$3/(1+Paramètres!$B$3)))</f>
        <v/>
      </c>
      <c r="O118" s="20">
        <f>IF($H118="","",$H118-SUM($K118:$M118)+IF($N118="",0,$N118))</f>
        <v/>
      </c>
      <c r="P118" s="21">
        <f>IF($A118="","",YEAR($A118))</f>
        <v/>
      </c>
      <c r="Q118" s="21">
        <f>IF($A118="","",MONTH($A118))</f>
        <v/>
      </c>
    </row>
    <row r="119">
      <c r="A119" s="15" t="n"/>
      <c r="B119" s="16" t="n"/>
      <c r="C119" s="16" t="n"/>
      <c r="D119" s="16" t="n"/>
      <c r="E119" s="16" t="n"/>
      <c r="F119" s="16" t="n"/>
      <c r="G119" s="17" t="n"/>
      <c r="H119" s="18" t="n"/>
      <c r="I119" s="19">
        <f>IF($H119="","",$H119*Paramètres!$B$3)</f>
        <v/>
      </c>
      <c r="J119" s="19">
        <f>IF($H119="","",$H119+$I119)</f>
        <v/>
      </c>
      <c r="K119" s="18" t="n"/>
      <c r="L119" s="18" t="n"/>
      <c r="M119" s="18" t="n"/>
      <c r="N119" s="19">
        <f>IF(SUM($K119:$M119)=0,"",SUM($K119:$M119)*(Paramètres!$B$3/(1+Paramètres!$B$3)))</f>
        <v/>
      </c>
      <c r="O119" s="20">
        <f>IF($H119="","",$H119-SUM($K119:$M119)+IF($N119="",0,$N119))</f>
        <v/>
      </c>
      <c r="P119" s="21">
        <f>IF($A119="","",YEAR($A119))</f>
        <v/>
      </c>
      <c r="Q119" s="21">
        <f>IF($A119="","",MONTH($A119))</f>
        <v/>
      </c>
    </row>
    <row r="120">
      <c r="A120" s="15" t="n"/>
      <c r="B120" s="16" t="n"/>
      <c r="C120" s="16" t="n"/>
      <c r="D120" s="16" t="n"/>
      <c r="E120" s="16" t="n"/>
      <c r="F120" s="16" t="n"/>
      <c r="G120" s="17" t="n"/>
      <c r="H120" s="18" t="n"/>
      <c r="I120" s="19">
        <f>IF($H120="","",$H120*Paramètres!$B$3)</f>
        <v/>
      </c>
      <c r="J120" s="19">
        <f>IF($H120="","",$H120+$I120)</f>
        <v/>
      </c>
      <c r="K120" s="18" t="n"/>
      <c r="L120" s="18" t="n"/>
      <c r="M120" s="18" t="n"/>
      <c r="N120" s="19">
        <f>IF(SUM($K120:$M120)=0,"",SUM($K120:$M120)*(Paramètres!$B$3/(1+Paramètres!$B$3)))</f>
        <v/>
      </c>
      <c r="O120" s="20">
        <f>IF($H120="","",$H120-SUM($K120:$M120)+IF($N120="",0,$N120))</f>
        <v/>
      </c>
      <c r="P120" s="21">
        <f>IF($A120="","",YEAR($A120))</f>
        <v/>
      </c>
      <c r="Q120" s="21">
        <f>IF($A120="","",MONTH($A120))</f>
        <v/>
      </c>
    </row>
    <row r="121">
      <c r="A121" s="15" t="n"/>
      <c r="B121" s="16" t="n"/>
      <c r="C121" s="16" t="n"/>
      <c r="D121" s="16" t="n"/>
      <c r="E121" s="16" t="n"/>
      <c r="F121" s="16" t="n"/>
      <c r="G121" s="17" t="n"/>
      <c r="H121" s="18" t="n"/>
      <c r="I121" s="19">
        <f>IF($H121="","",$H121*Paramètres!$B$3)</f>
        <v/>
      </c>
      <c r="J121" s="19">
        <f>IF($H121="","",$H121+$I121)</f>
        <v/>
      </c>
      <c r="K121" s="18" t="n"/>
      <c r="L121" s="18" t="n"/>
      <c r="M121" s="18" t="n"/>
      <c r="N121" s="19">
        <f>IF(SUM($K121:$M121)=0,"",SUM($K121:$M121)*(Paramètres!$B$3/(1+Paramètres!$B$3)))</f>
        <v/>
      </c>
      <c r="O121" s="20">
        <f>IF($H121="","",$H121-SUM($K121:$M121)+IF($N121="",0,$N121))</f>
        <v/>
      </c>
      <c r="P121" s="21">
        <f>IF($A121="","",YEAR($A121))</f>
        <v/>
      </c>
      <c r="Q121" s="21">
        <f>IF($A121="","",MONTH($A121))</f>
        <v/>
      </c>
    </row>
    <row r="122">
      <c r="A122" s="15" t="n"/>
      <c r="B122" s="16" t="n"/>
      <c r="C122" s="16" t="n"/>
      <c r="D122" s="16" t="n"/>
      <c r="E122" s="16" t="n"/>
      <c r="F122" s="16" t="n"/>
      <c r="G122" s="17" t="n"/>
      <c r="H122" s="18" t="n"/>
      <c r="I122" s="19">
        <f>IF($H122="","",$H122*Paramètres!$B$3)</f>
        <v/>
      </c>
      <c r="J122" s="19">
        <f>IF($H122="","",$H122+$I122)</f>
        <v/>
      </c>
      <c r="K122" s="18" t="n"/>
      <c r="L122" s="18" t="n"/>
      <c r="M122" s="18" t="n"/>
      <c r="N122" s="19">
        <f>IF(SUM($K122:$M122)=0,"",SUM($K122:$M122)*(Paramètres!$B$3/(1+Paramètres!$B$3)))</f>
        <v/>
      </c>
      <c r="O122" s="20">
        <f>IF($H122="","",$H122-SUM($K122:$M122)+IF($N122="",0,$N122))</f>
        <v/>
      </c>
      <c r="P122" s="21">
        <f>IF($A122="","",YEAR($A122))</f>
        <v/>
      </c>
      <c r="Q122" s="21">
        <f>IF($A122="","",MONTH($A122))</f>
        <v/>
      </c>
    </row>
    <row r="123">
      <c r="A123" s="15" t="n"/>
      <c r="B123" s="16" t="n"/>
      <c r="C123" s="16" t="n"/>
      <c r="D123" s="16" t="n"/>
      <c r="E123" s="16" t="n"/>
      <c r="F123" s="16" t="n"/>
      <c r="G123" s="17" t="n"/>
      <c r="H123" s="18" t="n"/>
      <c r="I123" s="19">
        <f>IF($H123="","",$H123*Paramètres!$B$3)</f>
        <v/>
      </c>
      <c r="J123" s="19">
        <f>IF($H123="","",$H123+$I123)</f>
        <v/>
      </c>
      <c r="K123" s="18" t="n"/>
      <c r="L123" s="18" t="n"/>
      <c r="M123" s="18" t="n"/>
      <c r="N123" s="19">
        <f>IF(SUM($K123:$M123)=0,"",SUM($K123:$M123)*(Paramètres!$B$3/(1+Paramètres!$B$3)))</f>
        <v/>
      </c>
      <c r="O123" s="20">
        <f>IF($H123="","",$H123-SUM($K123:$M123)+IF($N123="",0,$N123))</f>
        <v/>
      </c>
      <c r="P123" s="21">
        <f>IF($A123="","",YEAR($A123))</f>
        <v/>
      </c>
      <c r="Q123" s="21">
        <f>IF($A123="","",MONTH($A123))</f>
        <v/>
      </c>
    </row>
    <row r="124">
      <c r="A124" s="15" t="n"/>
      <c r="B124" s="16" t="n"/>
      <c r="C124" s="16" t="n"/>
      <c r="D124" s="16" t="n"/>
      <c r="E124" s="16" t="n"/>
      <c r="F124" s="16" t="n"/>
      <c r="G124" s="17" t="n"/>
      <c r="H124" s="18" t="n"/>
      <c r="I124" s="19">
        <f>IF($H124="","",$H124*Paramètres!$B$3)</f>
        <v/>
      </c>
      <c r="J124" s="19">
        <f>IF($H124="","",$H124+$I124)</f>
        <v/>
      </c>
      <c r="K124" s="18" t="n"/>
      <c r="L124" s="18" t="n"/>
      <c r="M124" s="18" t="n"/>
      <c r="N124" s="19">
        <f>IF(SUM($K124:$M124)=0,"",SUM($K124:$M124)*(Paramètres!$B$3/(1+Paramètres!$B$3)))</f>
        <v/>
      </c>
      <c r="O124" s="20">
        <f>IF($H124="","",$H124-SUM($K124:$M124)+IF($N124="",0,$N124))</f>
        <v/>
      </c>
      <c r="P124" s="21">
        <f>IF($A124="","",YEAR($A124))</f>
        <v/>
      </c>
      <c r="Q124" s="21">
        <f>IF($A124="","",MONTH($A124))</f>
        <v/>
      </c>
    </row>
    <row r="125">
      <c r="A125" s="15" t="n"/>
      <c r="B125" s="16" t="n"/>
      <c r="C125" s="16" t="n"/>
      <c r="D125" s="16" t="n"/>
      <c r="E125" s="16" t="n"/>
      <c r="F125" s="16" t="n"/>
      <c r="G125" s="17" t="n"/>
      <c r="H125" s="18" t="n"/>
      <c r="I125" s="19">
        <f>IF($H125="","",$H125*Paramètres!$B$3)</f>
        <v/>
      </c>
      <c r="J125" s="19">
        <f>IF($H125="","",$H125+$I125)</f>
        <v/>
      </c>
      <c r="K125" s="18" t="n"/>
      <c r="L125" s="18" t="n"/>
      <c r="M125" s="18" t="n"/>
      <c r="N125" s="19">
        <f>IF(SUM($K125:$M125)=0,"",SUM($K125:$M125)*(Paramètres!$B$3/(1+Paramètres!$B$3)))</f>
        <v/>
      </c>
      <c r="O125" s="20">
        <f>IF($H125="","",$H125-SUM($K125:$M125)+IF($N125="",0,$N125))</f>
        <v/>
      </c>
      <c r="P125" s="21">
        <f>IF($A125="","",YEAR($A125))</f>
        <v/>
      </c>
      <c r="Q125" s="21">
        <f>IF($A125="","",MONTH($A125))</f>
        <v/>
      </c>
    </row>
    <row r="126">
      <c r="A126" s="15" t="n"/>
      <c r="B126" s="16" t="n"/>
      <c r="C126" s="16" t="n"/>
      <c r="D126" s="16" t="n"/>
      <c r="E126" s="16" t="n"/>
      <c r="F126" s="16" t="n"/>
      <c r="G126" s="17" t="n"/>
      <c r="H126" s="18" t="n"/>
      <c r="I126" s="19">
        <f>IF($H126="","",$H126*Paramètres!$B$3)</f>
        <v/>
      </c>
      <c r="J126" s="19">
        <f>IF($H126="","",$H126+$I126)</f>
        <v/>
      </c>
      <c r="K126" s="18" t="n"/>
      <c r="L126" s="18" t="n"/>
      <c r="M126" s="18" t="n"/>
      <c r="N126" s="19">
        <f>IF(SUM($K126:$M126)=0,"",SUM($K126:$M126)*(Paramètres!$B$3/(1+Paramètres!$B$3)))</f>
        <v/>
      </c>
      <c r="O126" s="20">
        <f>IF($H126="","",$H126-SUM($K126:$M126)+IF($N126="",0,$N126))</f>
        <v/>
      </c>
      <c r="P126" s="21">
        <f>IF($A126="","",YEAR($A126))</f>
        <v/>
      </c>
      <c r="Q126" s="21">
        <f>IF($A126="","",MONTH($A126))</f>
        <v/>
      </c>
    </row>
    <row r="127">
      <c r="A127" s="15" t="n"/>
      <c r="B127" s="16" t="n"/>
      <c r="C127" s="16" t="n"/>
      <c r="D127" s="16" t="n"/>
      <c r="E127" s="16" t="n"/>
      <c r="F127" s="16" t="n"/>
      <c r="G127" s="17" t="n"/>
      <c r="H127" s="18" t="n"/>
      <c r="I127" s="19">
        <f>IF($H127="","",$H127*Paramètres!$B$3)</f>
        <v/>
      </c>
      <c r="J127" s="19">
        <f>IF($H127="","",$H127+$I127)</f>
        <v/>
      </c>
      <c r="K127" s="18" t="n"/>
      <c r="L127" s="18" t="n"/>
      <c r="M127" s="18" t="n"/>
      <c r="N127" s="19">
        <f>IF(SUM($K127:$M127)=0,"",SUM($K127:$M127)*(Paramètres!$B$3/(1+Paramètres!$B$3)))</f>
        <v/>
      </c>
      <c r="O127" s="20">
        <f>IF($H127="","",$H127-SUM($K127:$M127)+IF($N127="",0,$N127))</f>
        <v/>
      </c>
      <c r="P127" s="21">
        <f>IF($A127="","",YEAR($A127))</f>
        <v/>
      </c>
      <c r="Q127" s="21">
        <f>IF($A127="","",MONTH($A127))</f>
        <v/>
      </c>
    </row>
    <row r="128">
      <c r="A128" s="15" t="n"/>
      <c r="B128" s="16" t="n"/>
      <c r="C128" s="16" t="n"/>
      <c r="D128" s="16" t="n"/>
      <c r="E128" s="16" t="n"/>
      <c r="F128" s="16" t="n"/>
      <c r="G128" s="17" t="n"/>
      <c r="H128" s="18" t="n"/>
      <c r="I128" s="19">
        <f>IF($H128="","",$H128*Paramètres!$B$3)</f>
        <v/>
      </c>
      <c r="J128" s="19">
        <f>IF($H128="","",$H128+$I128)</f>
        <v/>
      </c>
      <c r="K128" s="18" t="n"/>
      <c r="L128" s="18" t="n"/>
      <c r="M128" s="18" t="n"/>
      <c r="N128" s="19">
        <f>IF(SUM($K128:$M128)=0,"",SUM($K128:$M128)*(Paramètres!$B$3/(1+Paramètres!$B$3)))</f>
        <v/>
      </c>
      <c r="O128" s="20">
        <f>IF($H128="","",$H128-SUM($K128:$M128)+IF($N128="",0,$N128))</f>
        <v/>
      </c>
      <c r="P128" s="21">
        <f>IF($A128="","",YEAR($A128))</f>
        <v/>
      </c>
      <c r="Q128" s="21">
        <f>IF($A128="","",MONTH($A128))</f>
        <v/>
      </c>
    </row>
    <row r="129">
      <c r="A129" s="15" t="n"/>
      <c r="B129" s="16" t="n"/>
      <c r="C129" s="16" t="n"/>
      <c r="D129" s="16" t="n"/>
      <c r="E129" s="16" t="n"/>
      <c r="F129" s="16" t="n"/>
      <c r="G129" s="17" t="n"/>
      <c r="H129" s="18" t="n"/>
      <c r="I129" s="19">
        <f>IF($H129="","",$H129*Paramètres!$B$3)</f>
        <v/>
      </c>
      <c r="J129" s="19">
        <f>IF($H129="","",$H129+$I129)</f>
        <v/>
      </c>
      <c r="K129" s="18" t="n"/>
      <c r="L129" s="18" t="n"/>
      <c r="M129" s="18" t="n"/>
      <c r="N129" s="19">
        <f>IF(SUM($K129:$M129)=0,"",SUM($K129:$M129)*(Paramètres!$B$3/(1+Paramètres!$B$3)))</f>
        <v/>
      </c>
      <c r="O129" s="20">
        <f>IF($H129="","",$H129-SUM($K129:$M129)+IF($N129="",0,$N129))</f>
        <v/>
      </c>
      <c r="P129" s="21">
        <f>IF($A129="","",YEAR($A129))</f>
        <v/>
      </c>
      <c r="Q129" s="21">
        <f>IF($A129="","",MONTH($A129))</f>
        <v/>
      </c>
    </row>
    <row r="130">
      <c r="A130" s="15" t="n"/>
      <c r="B130" s="16" t="n"/>
      <c r="C130" s="16" t="n"/>
      <c r="D130" s="16" t="n"/>
      <c r="E130" s="16" t="n"/>
      <c r="F130" s="16" t="n"/>
      <c r="G130" s="17" t="n"/>
      <c r="H130" s="18" t="n"/>
      <c r="I130" s="19">
        <f>IF($H130="","",$H130*Paramètres!$B$3)</f>
        <v/>
      </c>
      <c r="J130" s="19">
        <f>IF($H130="","",$H130+$I130)</f>
        <v/>
      </c>
      <c r="K130" s="18" t="n"/>
      <c r="L130" s="18" t="n"/>
      <c r="M130" s="18" t="n"/>
      <c r="N130" s="19">
        <f>IF(SUM($K130:$M130)=0,"",SUM($K130:$M130)*(Paramètres!$B$3/(1+Paramètres!$B$3)))</f>
        <v/>
      </c>
      <c r="O130" s="20">
        <f>IF($H130="","",$H130-SUM($K130:$M130)+IF($N130="",0,$N130))</f>
        <v/>
      </c>
      <c r="P130" s="21">
        <f>IF($A130="","",YEAR($A130))</f>
        <v/>
      </c>
      <c r="Q130" s="21">
        <f>IF($A130="","",MONTH($A130))</f>
        <v/>
      </c>
    </row>
    <row r="131">
      <c r="A131" s="15" t="n"/>
      <c r="B131" s="16" t="n"/>
      <c r="C131" s="16" t="n"/>
      <c r="D131" s="16" t="n"/>
      <c r="E131" s="16" t="n"/>
      <c r="F131" s="16" t="n"/>
      <c r="G131" s="17" t="n"/>
      <c r="H131" s="18" t="n"/>
      <c r="I131" s="19">
        <f>IF($H131="","",$H131*Paramètres!$B$3)</f>
        <v/>
      </c>
      <c r="J131" s="19">
        <f>IF($H131="","",$H131+$I131)</f>
        <v/>
      </c>
      <c r="K131" s="18" t="n"/>
      <c r="L131" s="18" t="n"/>
      <c r="M131" s="18" t="n"/>
      <c r="N131" s="19">
        <f>IF(SUM($K131:$M131)=0,"",SUM($K131:$M131)*(Paramètres!$B$3/(1+Paramètres!$B$3)))</f>
        <v/>
      </c>
      <c r="O131" s="20">
        <f>IF($H131="","",$H131-SUM($K131:$M131)+IF($N131="",0,$N131))</f>
        <v/>
      </c>
      <c r="P131" s="21">
        <f>IF($A131="","",YEAR($A131))</f>
        <v/>
      </c>
      <c r="Q131" s="21">
        <f>IF($A131="","",MONTH($A131))</f>
        <v/>
      </c>
    </row>
    <row r="132">
      <c r="A132" s="15" t="n"/>
      <c r="B132" s="16" t="n"/>
      <c r="C132" s="16" t="n"/>
      <c r="D132" s="16" t="n"/>
      <c r="E132" s="16" t="n"/>
      <c r="F132" s="16" t="n"/>
      <c r="G132" s="17" t="n"/>
      <c r="H132" s="18" t="n"/>
      <c r="I132" s="19">
        <f>IF($H132="","",$H132*Paramètres!$B$3)</f>
        <v/>
      </c>
      <c r="J132" s="19">
        <f>IF($H132="","",$H132+$I132)</f>
        <v/>
      </c>
      <c r="K132" s="18" t="n"/>
      <c r="L132" s="18" t="n"/>
      <c r="M132" s="18" t="n"/>
      <c r="N132" s="19">
        <f>IF(SUM($K132:$M132)=0,"",SUM($K132:$M132)*(Paramètres!$B$3/(1+Paramètres!$B$3)))</f>
        <v/>
      </c>
      <c r="O132" s="20">
        <f>IF($H132="","",$H132-SUM($K132:$M132)+IF($N132="",0,$N132))</f>
        <v/>
      </c>
      <c r="P132" s="21">
        <f>IF($A132="","",YEAR($A132))</f>
        <v/>
      </c>
      <c r="Q132" s="21">
        <f>IF($A132="","",MONTH($A132))</f>
        <v/>
      </c>
    </row>
    <row r="133">
      <c r="A133" s="15" t="n"/>
      <c r="B133" s="16" t="n"/>
      <c r="C133" s="16" t="n"/>
      <c r="D133" s="16" t="n"/>
      <c r="E133" s="16" t="n"/>
      <c r="F133" s="16" t="n"/>
      <c r="G133" s="17" t="n"/>
      <c r="H133" s="18" t="n"/>
      <c r="I133" s="19">
        <f>IF($H133="","",$H133*Paramètres!$B$3)</f>
        <v/>
      </c>
      <c r="J133" s="19">
        <f>IF($H133="","",$H133+$I133)</f>
        <v/>
      </c>
      <c r="K133" s="18" t="n"/>
      <c r="L133" s="18" t="n"/>
      <c r="M133" s="18" t="n"/>
      <c r="N133" s="19">
        <f>IF(SUM($K133:$M133)=0,"",SUM($K133:$M133)*(Paramètres!$B$3/(1+Paramètres!$B$3)))</f>
        <v/>
      </c>
      <c r="O133" s="20">
        <f>IF($H133="","",$H133-SUM($K133:$M133)+IF($N133="",0,$N133))</f>
        <v/>
      </c>
      <c r="P133" s="21">
        <f>IF($A133="","",YEAR($A133))</f>
        <v/>
      </c>
      <c r="Q133" s="21">
        <f>IF($A133="","",MONTH($A133))</f>
        <v/>
      </c>
    </row>
    <row r="134">
      <c r="A134" s="15" t="n"/>
      <c r="B134" s="16" t="n"/>
      <c r="C134" s="16" t="n"/>
      <c r="D134" s="16" t="n"/>
      <c r="E134" s="16" t="n"/>
      <c r="F134" s="16" t="n"/>
      <c r="G134" s="17" t="n"/>
      <c r="H134" s="18" t="n"/>
      <c r="I134" s="19">
        <f>IF($H134="","",$H134*Paramètres!$B$3)</f>
        <v/>
      </c>
      <c r="J134" s="19">
        <f>IF($H134="","",$H134+$I134)</f>
        <v/>
      </c>
      <c r="K134" s="18" t="n"/>
      <c r="L134" s="18" t="n"/>
      <c r="M134" s="18" t="n"/>
      <c r="N134" s="19">
        <f>IF(SUM($K134:$M134)=0,"",SUM($K134:$M134)*(Paramètres!$B$3/(1+Paramètres!$B$3)))</f>
        <v/>
      </c>
      <c r="O134" s="20">
        <f>IF($H134="","",$H134-SUM($K134:$M134)+IF($N134="",0,$N134))</f>
        <v/>
      </c>
      <c r="P134" s="21">
        <f>IF($A134="","",YEAR($A134))</f>
        <v/>
      </c>
      <c r="Q134" s="21">
        <f>IF($A134="","",MONTH($A134))</f>
        <v/>
      </c>
    </row>
    <row r="135">
      <c r="A135" s="15" t="n"/>
      <c r="B135" s="16" t="n"/>
      <c r="C135" s="16" t="n"/>
      <c r="D135" s="16" t="n"/>
      <c r="E135" s="16" t="n"/>
      <c r="F135" s="16" t="n"/>
      <c r="G135" s="17" t="n"/>
      <c r="H135" s="18" t="n"/>
      <c r="I135" s="19">
        <f>IF($H135="","",$H135*Paramètres!$B$3)</f>
        <v/>
      </c>
      <c r="J135" s="19">
        <f>IF($H135="","",$H135+$I135)</f>
        <v/>
      </c>
      <c r="K135" s="18" t="n"/>
      <c r="L135" s="18" t="n"/>
      <c r="M135" s="18" t="n"/>
      <c r="N135" s="19">
        <f>IF(SUM($K135:$M135)=0,"",SUM($K135:$M135)*(Paramètres!$B$3/(1+Paramètres!$B$3)))</f>
        <v/>
      </c>
      <c r="O135" s="20">
        <f>IF($H135="","",$H135-SUM($K135:$M135)+IF($N135="",0,$N135))</f>
        <v/>
      </c>
      <c r="P135" s="21">
        <f>IF($A135="","",YEAR($A135))</f>
        <v/>
      </c>
      <c r="Q135" s="21">
        <f>IF($A135="","",MONTH($A135))</f>
        <v/>
      </c>
    </row>
    <row r="136">
      <c r="A136" s="15" t="n"/>
      <c r="B136" s="16" t="n"/>
      <c r="C136" s="16" t="n"/>
      <c r="D136" s="16" t="n"/>
      <c r="E136" s="16" t="n"/>
      <c r="F136" s="16" t="n"/>
      <c r="G136" s="17" t="n"/>
      <c r="H136" s="18" t="n"/>
      <c r="I136" s="19">
        <f>IF($H136="","",$H136*Paramètres!$B$3)</f>
        <v/>
      </c>
      <c r="J136" s="19">
        <f>IF($H136="","",$H136+$I136)</f>
        <v/>
      </c>
      <c r="K136" s="18" t="n"/>
      <c r="L136" s="18" t="n"/>
      <c r="M136" s="18" t="n"/>
      <c r="N136" s="19">
        <f>IF(SUM($K136:$M136)=0,"",SUM($K136:$M136)*(Paramètres!$B$3/(1+Paramètres!$B$3)))</f>
        <v/>
      </c>
      <c r="O136" s="20">
        <f>IF($H136="","",$H136-SUM($K136:$M136)+IF($N136="",0,$N136))</f>
        <v/>
      </c>
      <c r="P136" s="21">
        <f>IF($A136="","",YEAR($A136))</f>
        <v/>
      </c>
      <c r="Q136" s="21">
        <f>IF($A136="","",MONTH($A136))</f>
        <v/>
      </c>
    </row>
    <row r="137">
      <c r="A137" s="15" t="n"/>
      <c r="B137" s="16" t="n"/>
      <c r="C137" s="16" t="n"/>
      <c r="D137" s="16" t="n"/>
      <c r="E137" s="16" t="n"/>
      <c r="F137" s="16" t="n"/>
      <c r="G137" s="17" t="n"/>
      <c r="H137" s="18" t="n"/>
      <c r="I137" s="19">
        <f>IF($H137="","",$H137*Paramètres!$B$3)</f>
        <v/>
      </c>
      <c r="J137" s="19">
        <f>IF($H137="","",$H137+$I137)</f>
        <v/>
      </c>
      <c r="K137" s="18" t="n"/>
      <c r="L137" s="18" t="n"/>
      <c r="M137" s="18" t="n"/>
      <c r="N137" s="19">
        <f>IF(SUM($K137:$M137)=0,"",SUM($K137:$M137)*(Paramètres!$B$3/(1+Paramètres!$B$3)))</f>
        <v/>
      </c>
      <c r="O137" s="20">
        <f>IF($H137="","",$H137-SUM($K137:$M137)+IF($N137="",0,$N137))</f>
        <v/>
      </c>
      <c r="P137" s="21">
        <f>IF($A137="","",YEAR($A137))</f>
        <v/>
      </c>
      <c r="Q137" s="21">
        <f>IF($A137="","",MONTH($A137))</f>
        <v/>
      </c>
    </row>
    <row r="138">
      <c r="A138" s="15" t="n"/>
      <c r="B138" s="16" t="n"/>
      <c r="C138" s="16" t="n"/>
      <c r="D138" s="16" t="n"/>
      <c r="E138" s="16" t="n"/>
      <c r="F138" s="16" t="n"/>
      <c r="G138" s="17" t="n"/>
      <c r="H138" s="18" t="n"/>
      <c r="I138" s="19">
        <f>IF($H138="","",$H138*Paramètres!$B$3)</f>
        <v/>
      </c>
      <c r="J138" s="19">
        <f>IF($H138="","",$H138+$I138)</f>
        <v/>
      </c>
      <c r="K138" s="18" t="n"/>
      <c r="L138" s="18" t="n"/>
      <c r="M138" s="18" t="n"/>
      <c r="N138" s="19">
        <f>IF(SUM($K138:$M138)=0,"",SUM($K138:$M138)*(Paramètres!$B$3/(1+Paramètres!$B$3)))</f>
        <v/>
      </c>
      <c r="O138" s="20">
        <f>IF($H138="","",$H138-SUM($K138:$M138)+IF($N138="",0,$N138))</f>
        <v/>
      </c>
      <c r="P138" s="21">
        <f>IF($A138="","",YEAR($A138))</f>
        <v/>
      </c>
      <c r="Q138" s="21">
        <f>IF($A138="","",MONTH($A138))</f>
        <v/>
      </c>
    </row>
    <row r="139">
      <c r="A139" s="15" t="n"/>
      <c r="B139" s="16" t="n"/>
      <c r="C139" s="16" t="n"/>
      <c r="D139" s="16" t="n"/>
      <c r="E139" s="16" t="n"/>
      <c r="F139" s="16" t="n"/>
      <c r="G139" s="17" t="n"/>
      <c r="H139" s="18" t="n"/>
      <c r="I139" s="19">
        <f>IF($H139="","",$H139*Paramètres!$B$3)</f>
        <v/>
      </c>
      <c r="J139" s="19">
        <f>IF($H139="","",$H139+$I139)</f>
        <v/>
      </c>
      <c r="K139" s="18" t="n"/>
      <c r="L139" s="18" t="n"/>
      <c r="M139" s="18" t="n"/>
      <c r="N139" s="19">
        <f>IF(SUM($K139:$M139)=0,"",SUM($K139:$M139)*(Paramètres!$B$3/(1+Paramètres!$B$3)))</f>
        <v/>
      </c>
      <c r="O139" s="20">
        <f>IF($H139="","",$H139-SUM($K139:$M139)+IF($N139="",0,$N139))</f>
        <v/>
      </c>
      <c r="P139" s="21">
        <f>IF($A139="","",YEAR($A139))</f>
        <v/>
      </c>
      <c r="Q139" s="21">
        <f>IF($A139="","",MONTH($A139))</f>
        <v/>
      </c>
    </row>
    <row r="140">
      <c r="A140" s="15" t="n"/>
      <c r="B140" s="16" t="n"/>
      <c r="C140" s="16" t="n"/>
      <c r="D140" s="16" t="n"/>
      <c r="E140" s="16" t="n"/>
      <c r="F140" s="16" t="n"/>
      <c r="G140" s="17" t="n"/>
      <c r="H140" s="18" t="n"/>
      <c r="I140" s="19">
        <f>IF($H140="","",$H140*Paramètres!$B$3)</f>
        <v/>
      </c>
      <c r="J140" s="19">
        <f>IF($H140="","",$H140+$I140)</f>
        <v/>
      </c>
      <c r="K140" s="18" t="n"/>
      <c r="L140" s="18" t="n"/>
      <c r="M140" s="18" t="n"/>
      <c r="N140" s="19">
        <f>IF(SUM($K140:$M140)=0,"",SUM($K140:$M140)*(Paramètres!$B$3/(1+Paramètres!$B$3)))</f>
        <v/>
      </c>
      <c r="O140" s="20">
        <f>IF($H140="","",$H140-SUM($K140:$M140)+IF($N140="",0,$N140))</f>
        <v/>
      </c>
      <c r="P140" s="21">
        <f>IF($A140="","",YEAR($A140))</f>
        <v/>
      </c>
      <c r="Q140" s="21">
        <f>IF($A140="","",MONTH($A140))</f>
        <v/>
      </c>
    </row>
    <row r="141">
      <c r="A141" s="15" t="n"/>
      <c r="B141" s="16" t="n"/>
      <c r="C141" s="16" t="n"/>
      <c r="D141" s="16" t="n"/>
      <c r="E141" s="16" t="n"/>
      <c r="F141" s="16" t="n"/>
      <c r="G141" s="17" t="n"/>
      <c r="H141" s="18" t="n"/>
      <c r="I141" s="19">
        <f>IF($H141="","",$H141*Paramètres!$B$3)</f>
        <v/>
      </c>
      <c r="J141" s="19">
        <f>IF($H141="","",$H141+$I141)</f>
        <v/>
      </c>
      <c r="K141" s="18" t="n"/>
      <c r="L141" s="18" t="n"/>
      <c r="M141" s="18" t="n"/>
      <c r="N141" s="19">
        <f>IF(SUM($K141:$M141)=0,"",SUM($K141:$M141)*(Paramètres!$B$3/(1+Paramètres!$B$3)))</f>
        <v/>
      </c>
      <c r="O141" s="20">
        <f>IF($H141="","",$H141-SUM($K141:$M141)+IF($N141="",0,$N141))</f>
        <v/>
      </c>
      <c r="P141" s="21">
        <f>IF($A141="","",YEAR($A141))</f>
        <v/>
      </c>
      <c r="Q141" s="21">
        <f>IF($A141="","",MONTH($A141))</f>
        <v/>
      </c>
    </row>
    <row r="142">
      <c r="A142" s="15" t="n"/>
      <c r="B142" s="16" t="n"/>
      <c r="C142" s="16" t="n"/>
      <c r="D142" s="16" t="n"/>
      <c r="E142" s="16" t="n"/>
      <c r="F142" s="16" t="n"/>
      <c r="G142" s="17" t="n"/>
      <c r="H142" s="18" t="n"/>
      <c r="I142" s="19">
        <f>IF($H142="","",$H142*Paramètres!$B$3)</f>
        <v/>
      </c>
      <c r="J142" s="19">
        <f>IF($H142="","",$H142+$I142)</f>
        <v/>
      </c>
      <c r="K142" s="18" t="n"/>
      <c r="L142" s="18" t="n"/>
      <c r="M142" s="18" t="n"/>
      <c r="N142" s="19">
        <f>IF(SUM($K142:$M142)=0,"",SUM($K142:$M142)*(Paramètres!$B$3/(1+Paramètres!$B$3)))</f>
        <v/>
      </c>
      <c r="O142" s="20">
        <f>IF($H142="","",$H142-SUM($K142:$M142)+IF($N142="",0,$N142))</f>
        <v/>
      </c>
      <c r="P142" s="21">
        <f>IF($A142="","",YEAR($A142))</f>
        <v/>
      </c>
      <c r="Q142" s="21">
        <f>IF($A142="","",MONTH($A142))</f>
        <v/>
      </c>
    </row>
    <row r="143">
      <c r="A143" s="15" t="n"/>
      <c r="B143" s="16" t="n"/>
      <c r="C143" s="16" t="n"/>
      <c r="D143" s="16" t="n"/>
      <c r="E143" s="16" t="n"/>
      <c r="F143" s="16" t="n"/>
      <c r="G143" s="17" t="n"/>
      <c r="H143" s="18" t="n"/>
      <c r="I143" s="19">
        <f>IF($H143="","",$H143*Paramètres!$B$3)</f>
        <v/>
      </c>
      <c r="J143" s="19">
        <f>IF($H143="","",$H143+$I143)</f>
        <v/>
      </c>
      <c r="K143" s="18" t="n"/>
      <c r="L143" s="18" t="n"/>
      <c r="M143" s="18" t="n"/>
      <c r="N143" s="19">
        <f>IF(SUM($K143:$M143)=0,"",SUM($K143:$M143)*(Paramètres!$B$3/(1+Paramètres!$B$3)))</f>
        <v/>
      </c>
      <c r="O143" s="20">
        <f>IF($H143="","",$H143-SUM($K143:$M143)+IF($N143="",0,$N143))</f>
        <v/>
      </c>
      <c r="P143" s="21">
        <f>IF($A143="","",YEAR($A143))</f>
        <v/>
      </c>
      <c r="Q143" s="21">
        <f>IF($A143="","",MONTH($A143))</f>
        <v/>
      </c>
    </row>
    <row r="144">
      <c r="A144" s="15" t="n"/>
      <c r="B144" s="16" t="n"/>
      <c r="C144" s="16" t="n"/>
      <c r="D144" s="16" t="n"/>
      <c r="E144" s="16" t="n"/>
      <c r="F144" s="16" t="n"/>
      <c r="G144" s="17" t="n"/>
      <c r="H144" s="18" t="n"/>
      <c r="I144" s="19">
        <f>IF($H144="","",$H144*Paramètres!$B$3)</f>
        <v/>
      </c>
      <c r="J144" s="19">
        <f>IF($H144="","",$H144+$I144)</f>
        <v/>
      </c>
      <c r="K144" s="18" t="n"/>
      <c r="L144" s="18" t="n"/>
      <c r="M144" s="18" t="n"/>
      <c r="N144" s="19">
        <f>IF(SUM($K144:$M144)=0,"",SUM($K144:$M144)*(Paramètres!$B$3/(1+Paramètres!$B$3)))</f>
        <v/>
      </c>
      <c r="O144" s="20">
        <f>IF($H144="","",$H144-SUM($K144:$M144)+IF($N144="",0,$N144))</f>
        <v/>
      </c>
      <c r="P144" s="21">
        <f>IF($A144="","",YEAR($A144))</f>
        <v/>
      </c>
      <c r="Q144" s="21">
        <f>IF($A144="","",MONTH($A144))</f>
        <v/>
      </c>
    </row>
    <row r="145">
      <c r="A145" s="15" t="n"/>
      <c r="B145" s="16" t="n"/>
      <c r="C145" s="16" t="n"/>
      <c r="D145" s="16" t="n"/>
      <c r="E145" s="16" t="n"/>
      <c r="F145" s="16" t="n"/>
      <c r="G145" s="17" t="n"/>
      <c r="H145" s="18" t="n"/>
      <c r="I145" s="19">
        <f>IF($H145="","",$H145*Paramètres!$B$3)</f>
        <v/>
      </c>
      <c r="J145" s="19">
        <f>IF($H145="","",$H145+$I145)</f>
        <v/>
      </c>
      <c r="K145" s="18" t="n"/>
      <c r="L145" s="18" t="n"/>
      <c r="M145" s="18" t="n"/>
      <c r="N145" s="19">
        <f>IF(SUM($K145:$M145)=0,"",SUM($K145:$M145)*(Paramètres!$B$3/(1+Paramètres!$B$3)))</f>
        <v/>
      </c>
      <c r="O145" s="20">
        <f>IF($H145="","",$H145-SUM($K145:$M145)+IF($N145="",0,$N145))</f>
        <v/>
      </c>
      <c r="P145" s="21">
        <f>IF($A145="","",YEAR($A145))</f>
        <v/>
      </c>
      <c r="Q145" s="21">
        <f>IF($A145="","",MONTH($A145))</f>
        <v/>
      </c>
    </row>
    <row r="146">
      <c r="A146" s="15" t="n"/>
      <c r="B146" s="16" t="n"/>
      <c r="C146" s="16" t="n"/>
      <c r="D146" s="16" t="n"/>
      <c r="E146" s="16" t="n"/>
      <c r="F146" s="16" t="n"/>
      <c r="G146" s="17" t="n"/>
      <c r="H146" s="18" t="n"/>
      <c r="I146" s="19">
        <f>IF($H146="","",$H146*Paramètres!$B$3)</f>
        <v/>
      </c>
      <c r="J146" s="19">
        <f>IF($H146="","",$H146+$I146)</f>
        <v/>
      </c>
      <c r="K146" s="18" t="n"/>
      <c r="L146" s="18" t="n"/>
      <c r="M146" s="18" t="n"/>
      <c r="N146" s="19">
        <f>IF(SUM($K146:$M146)=0,"",SUM($K146:$M146)*(Paramètres!$B$3/(1+Paramètres!$B$3)))</f>
        <v/>
      </c>
      <c r="O146" s="20">
        <f>IF($H146="","",$H146-SUM($K146:$M146)+IF($N146="",0,$N146))</f>
        <v/>
      </c>
      <c r="P146" s="21">
        <f>IF($A146="","",YEAR($A146))</f>
        <v/>
      </c>
      <c r="Q146" s="21">
        <f>IF($A146="","",MONTH($A146))</f>
        <v/>
      </c>
    </row>
    <row r="147">
      <c r="A147" s="15" t="n"/>
      <c r="B147" s="16" t="n"/>
      <c r="C147" s="16" t="n"/>
      <c r="D147" s="16" t="n"/>
      <c r="E147" s="16" t="n"/>
      <c r="F147" s="16" t="n"/>
      <c r="G147" s="17" t="n"/>
      <c r="H147" s="18" t="n"/>
      <c r="I147" s="19">
        <f>IF($H147="","",$H147*Paramètres!$B$3)</f>
        <v/>
      </c>
      <c r="J147" s="19">
        <f>IF($H147="","",$H147+$I147)</f>
        <v/>
      </c>
      <c r="K147" s="18" t="n"/>
      <c r="L147" s="18" t="n"/>
      <c r="M147" s="18" t="n"/>
      <c r="N147" s="19">
        <f>IF(SUM($K147:$M147)=0,"",SUM($K147:$M147)*(Paramètres!$B$3/(1+Paramètres!$B$3)))</f>
        <v/>
      </c>
      <c r="O147" s="20">
        <f>IF($H147="","",$H147-SUM($K147:$M147)+IF($N147="",0,$N147))</f>
        <v/>
      </c>
      <c r="P147" s="21">
        <f>IF($A147="","",YEAR($A147))</f>
        <v/>
      </c>
      <c r="Q147" s="21">
        <f>IF($A147="","",MONTH($A147))</f>
        <v/>
      </c>
    </row>
    <row r="148">
      <c r="A148" s="15" t="n"/>
      <c r="B148" s="16" t="n"/>
      <c r="C148" s="16" t="n"/>
      <c r="D148" s="16" t="n"/>
      <c r="E148" s="16" t="n"/>
      <c r="F148" s="16" t="n"/>
      <c r="G148" s="17" t="n"/>
      <c r="H148" s="18" t="n"/>
      <c r="I148" s="19">
        <f>IF($H148="","",$H148*Paramètres!$B$3)</f>
        <v/>
      </c>
      <c r="J148" s="19">
        <f>IF($H148="","",$H148+$I148)</f>
        <v/>
      </c>
      <c r="K148" s="18" t="n"/>
      <c r="L148" s="18" t="n"/>
      <c r="M148" s="18" t="n"/>
      <c r="N148" s="19">
        <f>IF(SUM($K148:$M148)=0,"",SUM($K148:$M148)*(Paramètres!$B$3/(1+Paramètres!$B$3)))</f>
        <v/>
      </c>
      <c r="O148" s="20">
        <f>IF($H148="","",$H148-SUM($K148:$M148)+IF($N148="",0,$N148))</f>
        <v/>
      </c>
      <c r="P148" s="21">
        <f>IF($A148="","",YEAR($A148))</f>
        <v/>
      </c>
      <c r="Q148" s="21">
        <f>IF($A148="","",MONTH($A148))</f>
        <v/>
      </c>
    </row>
    <row r="149">
      <c r="A149" s="15" t="n"/>
      <c r="B149" s="16" t="n"/>
      <c r="C149" s="16" t="n"/>
      <c r="D149" s="16" t="n"/>
      <c r="E149" s="16" t="n"/>
      <c r="F149" s="16" t="n"/>
      <c r="G149" s="17" t="n"/>
      <c r="H149" s="18" t="n"/>
      <c r="I149" s="19">
        <f>IF($H149="","",$H149*Paramètres!$B$3)</f>
        <v/>
      </c>
      <c r="J149" s="19">
        <f>IF($H149="","",$H149+$I149)</f>
        <v/>
      </c>
      <c r="K149" s="18" t="n"/>
      <c r="L149" s="18" t="n"/>
      <c r="M149" s="18" t="n"/>
      <c r="N149" s="19">
        <f>IF(SUM($K149:$M149)=0,"",SUM($K149:$M149)*(Paramètres!$B$3/(1+Paramètres!$B$3)))</f>
        <v/>
      </c>
      <c r="O149" s="20">
        <f>IF($H149="","",$H149-SUM($K149:$M149)+IF($N149="",0,$N149))</f>
        <v/>
      </c>
      <c r="P149" s="21">
        <f>IF($A149="","",YEAR($A149))</f>
        <v/>
      </c>
      <c r="Q149" s="21">
        <f>IF($A149="","",MONTH($A149))</f>
        <v/>
      </c>
    </row>
    <row r="150">
      <c r="A150" s="15" t="n"/>
      <c r="B150" s="16" t="n"/>
      <c r="C150" s="16" t="n"/>
      <c r="D150" s="16" t="n"/>
      <c r="E150" s="16" t="n"/>
      <c r="F150" s="16" t="n"/>
      <c r="G150" s="17" t="n"/>
      <c r="H150" s="18" t="n"/>
      <c r="I150" s="19">
        <f>IF($H150="","",$H150*Paramètres!$B$3)</f>
        <v/>
      </c>
      <c r="J150" s="19">
        <f>IF($H150="","",$H150+$I150)</f>
        <v/>
      </c>
      <c r="K150" s="18" t="n"/>
      <c r="L150" s="18" t="n"/>
      <c r="M150" s="18" t="n"/>
      <c r="N150" s="19">
        <f>IF(SUM($K150:$M150)=0,"",SUM($K150:$M150)*(Paramètres!$B$3/(1+Paramètres!$B$3)))</f>
        <v/>
      </c>
      <c r="O150" s="20">
        <f>IF($H150="","",$H150-SUM($K150:$M150)+IF($N150="",0,$N150))</f>
        <v/>
      </c>
      <c r="P150" s="21">
        <f>IF($A150="","",YEAR($A150))</f>
        <v/>
      </c>
      <c r="Q150" s="21">
        <f>IF($A150="","",MONTH($A150))</f>
        <v/>
      </c>
    </row>
    <row r="151">
      <c r="A151" s="15" t="n"/>
      <c r="B151" s="16" t="n"/>
      <c r="C151" s="16" t="n"/>
      <c r="D151" s="16" t="n"/>
      <c r="E151" s="16" t="n"/>
      <c r="F151" s="16" t="n"/>
      <c r="G151" s="17" t="n"/>
      <c r="H151" s="18" t="n"/>
      <c r="I151" s="19">
        <f>IF($H151="","",$H151*Paramètres!$B$3)</f>
        <v/>
      </c>
      <c r="J151" s="19">
        <f>IF($H151="","",$H151+$I151)</f>
        <v/>
      </c>
      <c r="K151" s="18" t="n"/>
      <c r="L151" s="18" t="n"/>
      <c r="M151" s="18" t="n"/>
      <c r="N151" s="19">
        <f>IF(SUM($K151:$M151)=0,"",SUM($K151:$M151)*(Paramètres!$B$3/(1+Paramètres!$B$3)))</f>
        <v/>
      </c>
      <c r="O151" s="20">
        <f>IF($H151="","",$H151-SUM($K151:$M151)+IF($N151="",0,$N151))</f>
        <v/>
      </c>
      <c r="P151" s="21">
        <f>IF($A151="","",YEAR($A151))</f>
        <v/>
      </c>
      <c r="Q151" s="21">
        <f>IF($A151="","",MONTH($A151))</f>
        <v/>
      </c>
    </row>
    <row r="152">
      <c r="A152" s="15" t="n"/>
      <c r="B152" s="16" t="n"/>
      <c r="C152" s="16" t="n"/>
      <c r="D152" s="16" t="n"/>
      <c r="E152" s="16" t="n"/>
      <c r="F152" s="16" t="n"/>
      <c r="G152" s="17" t="n"/>
      <c r="H152" s="18" t="n"/>
      <c r="I152" s="19">
        <f>IF($H152="","",$H152*Paramètres!$B$3)</f>
        <v/>
      </c>
      <c r="J152" s="19">
        <f>IF($H152="","",$H152+$I152)</f>
        <v/>
      </c>
      <c r="K152" s="18" t="n"/>
      <c r="L152" s="18" t="n"/>
      <c r="M152" s="18" t="n"/>
      <c r="N152" s="19">
        <f>IF(SUM($K152:$M152)=0,"",SUM($K152:$M152)*(Paramètres!$B$3/(1+Paramètres!$B$3)))</f>
        <v/>
      </c>
      <c r="O152" s="20">
        <f>IF($H152="","",$H152-SUM($K152:$M152)+IF($N152="",0,$N152))</f>
        <v/>
      </c>
      <c r="P152" s="21">
        <f>IF($A152="","",YEAR($A152))</f>
        <v/>
      </c>
      <c r="Q152" s="21">
        <f>IF($A152="","",MONTH($A152))</f>
        <v/>
      </c>
    </row>
    <row r="153">
      <c r="A153" s="15" t="n"/>
      <c r="B153" s="16" t="n"/>
      <c r="C153" s="16" t="n"/>
      <c r="D153" s="16" t="n"/>
      <c r="E153" s="16" t="n"/>
      <c r="F153" s="16" t="n"/>
      <c r="G153" s="17" t="n"/>
      <c r="H153" s="18" t="n"/>
      <c r="I153" s="19">
        <f>IF($H153="","",$H153*Paramètres!$B$3)</f>
        <v/>
      </c>
      <c r="J153" s="19">
        <f>IF($H153="","",$H153+$I153)</f>
        <v/>
      </c>
      <c r="K153" s="18" t="n"/>
      <c r="L153" s="18" t="n"/>
      <c r="M153" s="18" t="n"/>
      <c r="N153" s="19">
        <f>IF(SUM($K153:$M153)=0,"",SUM($K153:$M153)*(Paramètres!$B$3/(1+Paramètres!$B$3)))</f>
        <v/>
      </c>
      <c r="O153" s="20">
        <f>IF($H153="","",$H153-SUM($K153:$M153)+IF($N153="",0,$N153))</f>
        <v/>
      </c>
      <c r="P153" s="21">
        <f>IF($A153="","",YEAR($A153))</f>
        <v/>
      </c>
      <c r="Q153" s="21">
        <f>IF($A153="","",MONTH($A153))</f>
        <v/>
      </c>
    </row>
  </sheetData>
  <mergeCells count="2">
    <mergeCell ref="A1:O1"/>
    <mergeCell ref="A2:O2"/>
  </mergeCells>
  <dataValidations count="6">
    <dataValidation sqref="B4:B153" showDropDown="0" showInputMessage="0" showErrorMessage="0" allowBlank="1" errorTitle="Valeur hors liste" error="Choisis une valeur dans la liste (ou ajoute-la dans l'onglet source)." prompt="Sélectionne dans le menu déroulant." type="list">
      <formula1>=Convoyeurs!$A$3:$A$200</formula1>
    </dataValidation>
    <dataValidation sqref="C4:C153" showDropDown="0" showInputMessage="0" showErrorMessage="0" allowBlank="1" errorTitle="Valeur hors liste" error="Choisis une valeur dans la liste (ou ajoute-la dans l'onglet source)." prompt="Sélectionne dans le menu déroulant." type="list">
      <formula1>=Clients!$A$3:$A$200</formula1>
    </dataValidation>
    <dataValidation sqref="D4:D153" showDropDown="0" showInputMessage="0" showErrorMessage="0" allowBlank="1" errorTitle="Valeur hors liste" error="Choisis une valeur dans la liste (ou ajoute-la dans l'onglet source)." prompt="Sélectionne dans le menu déroulant." type="list">
      <formula1>=Véhicules!$A$3:$A$200</formula1>
    </dataValidation>
    <dataValidation sqref="E4:E153" showDropDown="0" showInputMessage="0" showErrorMessage="0" allowBlank="1" errorTitle="Valeur hors liste" error="Choisis une valeur dans la liste (ou ajoute-la dans l'onglet source)." prompt="Sélectionne dans le menu déroulant." type="list">
      <formula1>=Lieux!$C$3:$C$102</formula1>
    </dataValidation>
    <dataValidation sqref="F4:F153" showDropDown="0" showInputMessage="0" showErrorMessage="0" allowBlank="1" errorTitle="Valeur hors liste" error="Choisis une valeur dans la liste (ou ajoute-la dans l'onglet source)." prompt="Sélectionne dans le menu déroulant." type="list">
      <formula1>=Lieux!$C$3:$C$102</formula1>
    </dataValidation>
    <dataValidation sqref="A4:A153" showDropDown="0" showInputMessage="0" showErrorMessage="0" allowBlank="1" errorTitle="Date invalide" error="Saisis une date valide (JJ/MM/AAAA)." promptTitle="Date" prompt="Saisis la date du convoyage (JJ/MM/AAAA)." type="date" operator="between">
      <formula1>DATE(2020,1,1)</formula1>
      <formula2>DATE(2035,12,31)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13" customWidth="1" min="5" max="5"/>
    <col width="12" customWidth="1" min="6" max="6"/>
    <col width="13" customWidth="1" min="7" max="7"/>
    <col width="15" customWidth="1" min="8" max="8"/>
    <col width="15" customWidth="1" min="9" max="9"/>
    <col width="16" customWidth="1" min="10" max="10"/>
  </cols>
  <sheetData>
    <row r="1">
      <c r="A1" s="10" t="inlineStr">
        <is>
          <t>SYNTHÈSE D'ACTIVITÉ</t>
        </is>
      </c>
    </row>
    <row r="3">
      <c r="A3" s="22" t="inlineStr">
        <is>
          <t>Année analysée :</t>
        </is>
      </c>
      <c r="B3" s="23" t="n">
        <v>2026</v>
      </c>
      <c r="C3" s="21" t="inlineStr">
        <is>
          <t>← change l'année ici</t>
        </is>
      </c>
    </row>
    <row r="5">
      <c r="A5" s="24" t="inlineStr">
        <is>
          <t xml:space="preserve">  Par mois (année sélectionnée)</t>
        </is>
      </c>
    </row>
    <row r="6">
      <c r="A6" s="13" t="inlineStr">
        <is>
          <t>Mois</t>
        </is>
      </c>
      <c r="B6" s="13" t="inlineStr">
        <is>
          <t>Nb convoyages</t>
        </is>
      </c>
      <c r="C6" s="13" t="inlineStr">
        <is>
          <t>Distance (km)</t>
        </is>
      </c>
      <c r="D6" s="13" t="inlineStr">
        <is>
          <t>CA HT (€)</t>
        </is>
      </c>
      <c r="E6" s="13" t="inlineStr">
        <is>
          <t>Carburant (€)</t>
        </is>
      </c>
      <c r="F6" s="13" t="inlineStr">
        <is>
          <t>Péages (€)</t>
        </is>
      </c>
      <c r="G6" s="13" t="inlineStr">
        <is>
          <t>Nourriture (€)</t>
        </is>
      </c>
      <c r="H6" s="13" t="inlineStr">
        <is>
          <t>TVA collectée (€)</t>
        </is>
      </c>
      <c r="I6" s="13" t="inlineStr">
        <is>
          <t>TVA déductible (€)</t>
        </is>
      </c>
      <c r="J6" s="13" t="inlineStr">
        <is>
          <t>Bénéfice (€)</t>
        </is>
      </c>
    </row>
    <row r="7">
      <c r="A7" s="25" t="inlineStr">
        <is>
          <t>Janvier</t>
        </is>
      </c>
      <c r="B7" s="26">
        <f>COUNTIFS(Convoyages!$P$4:$P$153,$B$3,Convoyages!$Q$4:$Q$153,1)</f>
        <v/>
      </c>
      <c r="C7" s="27">
        <f>SUMIFS(Convoyages!$G$4:$G$153,Convoyages!$P$4:$P$153,$B$3,Convoyages!$Q$4:$Q$153,1)</f>
        <v/>
      </c>
      <c r="D7" s="28">
        <f>SUMIFS(Convoyages!$H$4:$H$153,Convoyages!$P$4:$P$153,$B$3,Convoyages!$Q$4:$Q$153,1)</f>
        <v/>
      </c>
      <c r="E7" s="28">
        <f>SUMIFS(Convoyages!$K$4:$K$153,Convoyages!$P$4:$P$153,$B$3,Convoyages!$Q$4:$Q$153,1)</f>
        <v/>
      </c>
      <c r="F7" s="28">
        <f>SUMIFS(Convoyages!$L$4:$L$153,Convoyages!$P$4:$P$153,$B$3,Convoyages!$Q$4:$Q$153,1)</f>
        <v/>
      </c>
      <c r="G7" s="28">
        <f>SUMIFS(Convoyages!$M$4:$M$153,Convoyages!$P$4:$P$153,$B$3,Convoyages!$Q$4:$Q$153,1)</f>
        <v/>
      </c>
      <c r="H7" s="28">
        <f>SUMIFS(Convoyages!$I$4:$I$153,Convoyages!$P$4:$P$153,$B$3,Convoyages!$Q$4:$Q$153,1)</f>
        <v/>
      </c>
      <c r="I7" s="28">
        <f>SUMIFS(Convoyages!$N$4:$N$153,Convoyages!$P$4:$P$153,$B$3,Convoyages!$Q$4:$Q$153,1)</f>
        <v/>
      </c>
      <c r="J7" s="29">
        <f>SUMIFS(Convoyages!$O$4:$O$153,Convoyages!$P$4:$P$153,$B$3,Convoyages!$Q$4:$Q$153,1)</f>
        <v/>
      </c>
    </row>
    <row r="8">
      <c r="A8" s="25" t="inlineStr">
        <is>
          <t>Février</t>
        </is>
      </c>
      <c r="B8" s="26">
        <f>COUNTIFS(Convoyages!$P$4:$P$153,$B$3,Convoyages!$Q$4:$Q$153,2)</f>
        <v/>
      </c>
      <c r="C8" s="27">
        <f>SUMIFS(Convoyages!$G$4:$G$153,Convoyages!$P$4:$P$153,$B$3,Convoyages!$Q$4:$Q$153,2)</f>
        <v/>
      </c>
      <c r="D8" s="28">
        <f>SUMIFS(Convoyages!$H$4:$H$153,Convoyages!$P$4:$P$153,$B$3,Convoyages!$Q$4:$Q$153,2)</f>
        <v/>
      </c>
      <c r="E8" s="28">
        <f>SUMIFS(Convoyages!$K$4:$K$153,Convoyages!$P$4:$P$153,$B$3,Convoyages!$Q$4:$Q$153,2)</f>
        <v/>
      </c>
      <c r="F8" s="28">
        <f>SUMIFS(Convoyages!$L$4:$L$153,Convoyages!$P$4:$P$153,$B$3,Convoyages!$Q$4:$Q$153,2)</f>
        <v/>
      </c>
      <c r="G8" s="28">
        <f>SUMIFS(Convoyages!$M$4:$M$153,Convoyages!$P$4:$P$153,$B$3,Convoyages!$Q$4:$Q$153,2)</f>
        <v/>
      </c>
      <c r="H8" s="28">
        <f>SUMIFS(Convoyages!$I$4:$I$153,Convoyages!$P$4:$P$153,$B$3,Convoyages!$Q$4:$Q$153,2)</f>
        <v/>
      </c>
      <c r="I8" s="28">
        <f>SUMIFS(Convoyages!$N$4:$N$153,Convoyages!$P$4:$P$153,$B$3,Convoyages!$Q$4:$Q$153,2)</f>
        <v/>
      </c>
      <c r="J8" s="29">
        <f>SUMIFS(Convoyages!$O$4:$O$153,Convoyages!$P$4:$P$153,$B$3,Convoyages!$Q$4:$Q$153,2)</f>
        <v/>
      </c>
    </row>
    <row r="9">
      <c r="A9" s="25" t="inlineStr">
        <is>
          <t>Mars</t>
        </is>
      </c>
      <c r="B9" s="26">
        <f>COUNTIFS(Convoyages!$P$4:$P$153,$B$3,Convoyages!$Q$4:$Q$153,3)</f>
        <v/>
      </c>
      <c r="C9" s="27">
        <f>SUMIFS(Convoyages!$G$4:$G$153,Convoyages!$P$4:$P$153,$B$3,Convoyages!$Q$4:$Q$153,3)</f>
        <v/>
      </c>
      <c r="D9" s="28">
        <f>SUMIFS(Convoyages!$H$4:$H$153,Convoyages!$P$4:$P$153,$B$3,Convoyages!$Q$4:$Q$153,3)</f>
        <v/>
      </c>
      <c r="E9" s="28">
        <f>SUMIFS(Convoyages!$K$4:$K$153,Convoyages!$P$4:$P$153,$B$3,Convoyages!$Q$4:$Q$153,3)</f>
        <v/>
      </c>
      <c r="F9" s="28">
        <f>SUMIFS(Convoyages!$L$4:$L$153,Convoyages!$P$4:$P$153,$B$3,Convoyages!$Q$4:$Q$153,3)</f>
        <v/>
      </c>
      <c r="G9" s="28">
        <f>SUMIFS(Convoyages!$M$4:$M$153,Convoyages!$P$4:$P$153,$B$3,Convoyages!$Q$4:$Q$153,3)</f>
        <v/>
      </c>
      <c r="H9" s="28">
        <f>SUMIFS(Convoyages!$I$4:$I$153,Convoyages!$P$4:$P$153,$B$3,Convoyages!$Q$4:$Q$153,3)</f>
        <v/>
      </c>
      <c r="I9" s="28">
        <f>SUMIFS(Convoyages!$N$4:$N$153,Convoyages!$P$4:$P$153,$B$3,Convoyages!$Q$4:$Q$153,3)</f>
        <v/>
      </c>
      <c r="J9" s="29">
        <f>SUMIFS(Convoyages!$O$4:$O$153,Convoyages!$P$4:$P$153,$B$3,Convoyages!$Q$4:$Q$153,3)</f>
        <v/>
      </c>
    </row>
    <row r="10">
      <c r="A10" s="25" t="inlineStr">
        <is>
          <t>Avril</t>
        </is>
      </c>
      <c r="B10" s="26">
        <f>COUNTIFS(Convoyages!$P$4:$P$153,$B$3,Convoyages!$Q$4:$Q$153,4)</f>
        <v/>
      </c>
      <c r="C10" s="27">
        <f>SUMIFS(Convoyages!$G$4:$G$153,Convoyages!$P$4:$P$153,$B$3,Convoyages!$Q$4:$Q$153,4)</f>
        <v/>
      </c>
      <c r="D10" s="28">
        <f>SUMIFS(Convoyages!$H$4:$H$153,Convoyages!$P$4:$P$153,$B$3,Convoyages!$Q$4:$Q$153,4)</f>
        <v/>
      </c>
      <c r="E10" s="28">
        <f>SUMIFS(Convoyages!$K$4:$K$153,Convoyages!$P$4:$P$153,$B$3,Convoyages!$Q$4:$Q$153,4)</f>
        <v/>
      </c>
      <c r="F10" s="28">
        <f>SUMIFS(Convoyages!$L$4:$L$153,Convoyages!$P$4:$P$153,$B$3,Convoyages!$Q$4:$Q$153,4)</f>
        <v/>
      </c>
      <c r="G10" s="28">
        <f>SUMIFS(Convoyages!$M$4:$M$153,Convoyages!$P$4:$P$153,$B$3,Convoyages!$Q$4:$Q$153,4)</f>
        <v/>
      </c>
      <c r="H10" s="28">
        <f>SUMIFS(Convoyages!$I$4:$I$153,Convoyages!$P$4:$P$153,$B$3,Convoyages!$Q$4:$Q$153,4)</f>
        <v/>
      </c>
      <c r="I10" s="28">
        <f>SUMIFS(Convoyages!$N$4:$N$153,Convoyages!$P$4:$P$153,$B$3,Convoyages!$Q$4:$Q$153,4)</f>
        <v/>
      </c>
      <c r="J10" s="29">
        <f>SUMIFS(Convoyages!$O$4:$O$153,Convoyages!$P$4:$P$153,$B$3,Convoyages!$Q$4:$Q$153,4)</f>
        <v/>
      </c>
    </row>
    <row r="11">
      <c r="A11" s="25" t="inlineStr">
        <is>
          <t>Mai</t>
        </is>
      </c>
      <c r="B11" s="26">
        <f>COUNTIFS(Convoyages!$P$4:$P$153,$B$3,Convoyages!$Q$4:$Q$153,5)</f>
        <v/>
      </c>
      <c r="C11" s="27">
        <f>SUMIFS(Convoyages!$G$4:$G$153,Convoyages!$P$4:$P$153,$B$3,Convoyages!$Q$4:$Q$153,5)</f>
        <v/>
      </c>
      <c r="D11" s="28">
        <f>SUMIFS(Convoyages!$H$4:$H$153,Convoyages!$P$4:$P$153,$B$3,Convoyages!$Q$4:$Q$153,5)</f>
        <v/>
      </c>
      <c r="E11" s="28">
        <f>SUMIFS(Convoyages!$K$4:$K$153,Convoyages!$P$4:$P$153,$B$3,Convoyages!$Q$4:$Q$153,5)</f>
        <v/>
      </c>
      <c r="F11" s="28">
        <f>SUMIFS(Convoyages!$L$4:$L$153,Convoyages!$P$4:$P$153,$B$3,Convoyages!$Q$4:$Q$153,5)</f>
        <v/>
      </c>
      <c r="G11" s="28">
        <f>SUMIFS(Convoyages!$M$4:$M$153,Convoyages!$P$4:$P$153,$B$3,Convoyages!$Q$4:$Q$153,5)</f>
        <v/>
      </c>
      <c r="H11" s="28">
        <f>SUMIFS(Convoyages!$I$4:$I$153,Convoyages!$P$4:$P$153,$B$3,Convoyages!$Q$4:$Q$153,5)</f>
        <v/>
      </c>
      <c r="I11" s="28">
        <f>SUMIFS(Convoyages!$N$4:$N$153,Convoyages!$P$4:$P$153,$B$3,Convoyages!$Q$4:$Q$153,5)</f>
        <v/>
      </c>
      <c r="J11" s="29">
        <f>SUMIFS(Convoyages!$O$4:$O$153,Convoyages!$P$4:$P$153,$B$3,Convoyages!$Q$4:$Q$153,5)</f>
        <v/>
      </c>
    </row>
    <row r="12">
      <c r="A12" s="25" t="inlineStr">
        <is>
          <t>Juin</t>
        </is>
      </c>
      <c r="B12" s="26">
        <f>COUNTIFS(Convoyages!$P$4:$P$153,$B$3,Convoyages!$Q$4:$Q$153,6)</f>
        <v/>
      </c>
      <c r="C12" s="27">
        <f>SUMIFS(Convoyages!$G$4:$G$153,Convoyages!$P$4:$P$153,$B$3,Convoyages!$Q$4:$Q$153,6)</f>
        <v/>
      </c>
      <c r="D12" s="28">
        <f>SUMIFS(Convoyages!$H$4:$H$153,Convoyages!$P$4:$P$153,$B$3,Convoyages!$Q$4:$Q$153,6)</f>
        <v/>
      </c>
      <c r="E12" s="28">
        <f>SUMIFS(Convoyages!$K$4:$K$153,Convoyages!$P$4:$P$153,$B$3,Convoyages!$Q$4:$Q$153,6)</f>
        <v/>
      </c>
      <c r="F12" s="28">
        <f>SUMIFS(Convoyages!$L$4:$L$153,Convoyages!$P$4:$P$153,$B$3,Convoyages!$Q$4:$Q$153,6)</f>
        <v/>
      </c>
      <c r="G12" s="28">
        <f>SUMIFS(Convoyages!$M$4:$M$153,Convoyages!$P$4:$P$153,$B$3,Convoyages!$Q$4:$Q$153,6)</f>
        <v/>
      </c>
      <c r="H12" s="28">
        <f>SUMIFS(Convoyages!$I$4:$I$153,Convoyages!$P$4:$P$153,$B$3,Convoyages!$Q$4:$Q$153,6)</f>
        <v/>
      </c>
      <c r="I12" s="28">
        <f>SUMIFS(Convoyages!$N$4:$N$153,Convoyages!$P$4:$P$153,$B$3,Convoyages!$Q$4:$Q$153,6)</f>
        <v/>
      </c>
      <c r="J12" s="29">
        <f>SUMIFS(Convoyages!$O$4:$O$153,Convoyages!$P$4:$P$153,$B$3,Convoyages!$Q$4:$Q$153,6)</f>
        <v/>
      </c>
    </row>
    <row r="13">
      <c r="A13" s="25" t="inlineStr">
        <is>
          <t>Juillet</t>
        </is>
      </c>
      <c r="B13" s="26">
        <f>COUNTIFS(Convoyages!$P$4:$P$153,$B$3,Convoyages!$Q$4:$Q$153,7)</f>
        <v/>
      </c>
      <c r="C13" s="27">
        <f>SUMIFS(Convoyages!$G$4:$G$153,Convoyages!$P$4:$P$153,$B$3,Convoyages!$Q$4:$Q$153,7)</f>
        <v/>
      </c>
      <c r="D13" s="28">
        <f>SUMIFS(Convoyages!$H$4:$H$153,Convoyages!$P$4:$P$153,$B$3,Convoyages!$Q$4:$Q$153,7)</f>
        <v/>
      </c>
      <c r="E13" s="28">
        <f>SUMIFS(Convoyages!$K$4:$K$153,Convoyages!$P$4:$P$153,$B$3,Convoyages!$Q$4:$Q$153,7)</f>
        <v/>
      </c>
      <c r="F13" s="28">
        <f>SUMIFS(Convoyages!$L$4:$L$153,Convoyages!$P$4:$P$153,$B$3,Convoyages!$Q$4:$Q$153,7)</f>
        <v/>
      </c>
      <c r="G13" s="28">
        <f>SUMIFS(Convoyages!$M$4:$M$153,Convoyages!$P$4:$P$153,$B$3,Convoyages!$Q$4:$Q$153,7)</f>
        <v/>
      </c>
      <c r="H13" s="28">
        <f>SUMIFS(Convoyages!$I$4:$I$153,Convoyages!$P$4:$P$153,$B$3,Convoyages!$Q$4:$Q$153,7)</f>
        <v/>
      </c>
      <c r="I13" s="28">
        <f>SUMIFS(Convoyages!$N$4:$N$153,Convoyages!$P$4:$P$153,$B$3,Convoyages!$Q$4:$Q$153,7)</f>
        <v/>
      </c>
      <c r="J13" s="29">
        <f>SUMIFS(Convoyages!$O$4:$O$153,Convoyages!$P$4:$P$153,$B$3,Convoyages!$Q$4:$Q$153,7)</f>
        <v/>
      </c>
    </row>
    <row r="14">
      <c r="A14" s="25" t="inlineStr">
        <is>
          <t>Août</t>
        </is>
      </c>
      <c r="B14" s="26">
        <f>COUNTIFS(Convoyages!$P$4:$P$153,$B$3,Convoyages!$Q$4:$Q$153,8)</f>
        <v/>
      </c>
      <c r="C14" s="27">
        <f>SUMIFS(Convoyages!$G$4:$G$153,Convoyages!$P$4:$P$153,$B$3,Convoyages!$Q$4:$Q$153,8)</f>
        <v/>
      </c>
      <c r="D14" s="28">
        <f>SUMIFS(Convoyages!$H$4:$H$153,Convoyages!$P$4:$P$153,$B$3,Convoyages!$Q$4:$Q$153,8)</f>
        <v/>
      </c>
      <c r="E14" s="28">
        <f>SUMIFS(Convoyages!$K$4:$K$153,Convoyages!$P$4:$P$153,$B$3,Convoyages!$Q$4:$Q$153,8)</f>
        <v/>
      </c>
      <c r="F14" s="28">
        <f>SUMIFS(Convoyages!$L$4:$L$153,Convoyages!$P$4:$P$153,$B$3,Convoyages!$Q$4:$Q$153,8)</f>
        <v/>
      </c>
      <c r="G14" s="28">
        <f>SUMIFS(Convoyages!$M$4:$M$153,Convoyages!$P$4:$P$153,$B$3,Convoyages!$Q$4:$Q$153,8)</f>
        <v/>
      </c>
      <c r="H14" s="28">
        <f>SUMIFS(Convoyages!$I$4:$I$153,Convoyages!$P$4:$P$153,$B$3,Convoyages!$Q$4:$Q$153,8)</f>
        <v/>
      </c>
      <c r="I14" s="28">
        <f>SUMIFS(Convoyages!$N$4:$N$153,Convoyages!$P$4:$P$153,$B$3,Convoyages!$Q$4:$Q$153,8)</f>
        <v/>
      </c>
      <c r="J14" s="29">
        <f>SUMIFS(Convoyages!$O$4:$O$153,Convoyages!$P$4:$P$153,$B$3,Convoyages!$Q$4:$Q$153,8)</f>
        <v/>
      </c>
    </row>
    <row r="15">
      <c r="A15" s="25" t="inlineStr">
        <is>
          <t>Septembre</t>
        </is>
      </c>
      <c r="B15" s="26">
        <f>COUNTIFS(Convoyages!$P$4:$P$153,$B$3,Convoyages!$Q$4:$Q$153,9)</f>
        <v/>
      </c>
      <c r="C15" s="27">
        <f>SUMIFS(Convoyages!$G$4:$G$153,Convoyages!$P$4:$P$153,$B$3,Convoyages!$Q$4:$Q$153,9)</f>
        <v/>
      </c>
      <c r="D15" s="28">
        <f>SUMIFS(Convoyages!$H$4:$H$153,Convoyages!$P$4:$P$153,$B$3,Convoyages!$Q$4:$Q$153,9)</f>
        <v/>
      </c>
      <c r="E15" s="28">
        <f>SUMIFS(Convoyages!$K$4:$K$153,Convoyages!$P$4:$P$153,$B$3,Convoyages!$Q$4:$Q$153,9)</f>
        <v/>
      </c>
      <c r="F15" s="28">
        <f>SUMIFS(Convoyages!$L$4:$L$153,Convoyages!$P$4:$P$153,$B$3,Convoyages!$Q$4:$Q$153,9)</f>
        <v/>
      </c>
      <c r="G15" s="28">
        <f>SUMIFS(Convoyages!$M$4:$M$153,Convoyages!$P$4:$P$153,$B$3,Convoyages!$Q$4:$Q$153,9)</f>
        <v/>
      </c>
      <c r="H15" s="28">
        <f>SUMIFS(Convoyages!$I$4:$I$153,Convoyages!$P$4:$P$153,$B$3,Convoyages!$Q$4:$Q$153,9)</f>
        <v/>
      </c>
      <c r="I15" s="28">
        <f>SUMIFS(Convoyages!$N$4:$N$153,Convoyages!$P$4:$P$153,$B$3,Convoyages!$Q$4:$Q$153,9)</f>
        <v/>
      </c>
      <c r="J15" s="29">
        <f>SUMIFS(Convoyages!$O$4:$O$153,Convoyages!$P$4:$P$153,$B$3,Convoyages!$Q$4:$Q$153,9)</f>
        <v/>
      </c>
    </row>
    <row r="16">
      <c r="A16" s="25" t="inlineStr">
        <is>
          <t>Octobre</t>
        </is>
      </c>
      <c r="B16" s="26">
        <f>COUNTIFS(Convoyages!$P$4:$P$153,$B$3,Convoyages!$Q$4:$Q$153,10)</f>
        <v/>
      </c>
      <c r="C16" s="27">
        <f>SUMIFS(Convoyages!$G$4:$G$153,Convoyages!$P$4:$P$153,$B$3,Convoyages!$Q$4:$Q$153,10)</f>
        <v/>
      </c>
      <c r="D16" s="28">
        <f>SUMIFS(Convoyages!$H$4:$H$153,Convoyages!$P$4:$P$153,$B$3,Convoyages!$Q$4:$Q$153,10)</f>
        <v/>
      </c>
      <c r="E16" s="28">
        <f>SUMIFS(Convoyages!$K$4:$K$153,Convoyages!$P$4:$P$153,$B$3,Convoyages!$Q$4:$Q$153,10)</f>
        <v/>
      </c>
      <c r="F16" s="28">
        <f>SUMIFS(Convoyages!$L$4:$L$153,Convoyages!$P$4:$P$153,$B$3,Convoyages!$Q$4:$Q$153,10)</f>
        <v/>
      </c>
      <c r="G16" s="28">
        <f>SUMIFS(Convoyages!$M$4:$M$153,Convoyages!$P$4:$P$153,$B$3,Convoyages!$Q$4:$Q$153,10)</f>
        <v/>
      </c>
      <c r="H16" s="28">
        <f>SUMIFS(Convoyages!$I$4:$I$153,Convoyages!$P$4:$P$153,$B$3,Convoyages!$Q$4:$Q$153,10)</f>
        <v/>
      </c>
      <c r="I16" s="28">
        <f>SUMIFS(Convoyages!$N$4:$N$153,Convoyages!$P$4:$P$153,$B$3,Convoyages!$Q$4:$Q$153,10)</f>
        <v/>
      </c>
      <c r="J16" s="29">
        <f>SUMIFS(Convoyages!$O$4:$O$153,Convoyages!$P$4:$P$153,$B$3,Convoyages!$Q$4:$Q$153,10)</f>
        <v/>
      </c>
    </row>
    <row r="17">
      <c r="A17" s="25" t="inlineStr">
        <is>
          <t>Novembre</t>
        </is>
      </c>
      <c r="B17" s="26">
        <f>COUNTIFS(Convoyages!$P$4:$P$153,$B$3,Convoyages!$Q$4:$Q$153,11)</f>
        <v/>
      </c>
      <c r="C17" s="27">
        <f>SUMIFS(Convoyages!$G$4:$G$153,Convoyages!$P$4:$P$153,$B$3,Convoyages!$Q$4:$Q$153,11)</f>
        <v/>
      </c>
      <c r="D17" s="28">
        <f>SUMIFS(Convoyages!$H$4:$H$153,Convoyages!$P$4:$P$153,$B$3,Convoyages!$Q$4:$Q$153,11)</f>
        <v/>
      </c>
      <c r="E17" s="28">
        <f>SUMIFS(Convoyages!$K$4:$K$153,Convoyages!$P$4:$P$153,$B$3,Convoyages!$Q$4:$Q$153,11)</f>
        <v/>
      </c>
      <c r="F17" s="28">
        <f>SUMIFS(Convoyages!$L$4:$L$153,Convoyages!$P$4:$P$153,$B$3,Convoyages!$Q$4:$Q$153,11)</f>
        <v/>
      </c>
      <c r="G17" s="28">
        <f>SUMIFS(Convoyages!$M$4:$M$153,Convoyages!$P$4:$P$153,$B$3,Convoyages!$Q$4:$Q$153,11)</f>
        <v/>
      </c>
      <c r="H17" s="28">
        <f>SUMIFS(Convoyages!$I$4:$I$153,Convoyages!$P$4:$P$153,$B$3,Convoyages!$Q$4:$Q$153,11)</f>
        <v/>
      </c>
      <c r="I17" s="28">
        <f>SUMIFS(Convoyages!$N$4:$N$153,Convoyages!$P$4:$P$153,$B$3,Convoyages!$Q$4:$Q$153,11)</f>
        <v/>
      </c>
      <c r="J17" s="29">
        <f>SUMIFS(Convoyages!$O$4:$O$153,Convoyages!$P$4:$P$153,$B$3,Convoyages!$Q$4:$Q$153,11)</f>
        <v/>
      </c>
    </row>
    <row r="18">
      <c r="A18" s="25" t="inlineStr">
        <is>
          <t>Décembre</t>
        </is>
      </c>
      <c r="B18" s="26">
        <f>COUNTIFS(Convoyages!$P$4:$P$153,$B$3,Convoyages!$Q$4:$Q$153,12)</f>
        <v/>
      </c>
      <c r="C18" s="27">
        <f>SUMIFS(Convoyages!$G$4:$G$153,Convoyages!$P$4:$P$153,$B$3,Convoyages!$Q$4:$Q$153,12)</f>
        <v/>
      </c>
      <c r="D18" s="28">
        <f>SUMIFS(Convoyages!$H$4:$H$153,Convoyages!$P$4:$P$153,$B$3,Convoyages!$Q$4:$Q$153,12)</f>
        <v/>
      </c>
      <c r="E18" s="28">
        <f>SUMIFS(Convoyages!$K$4:$K$153,Convoyages!$P$4:$P$153,$B$3,Convoyages!$Q$4:$Q$153,12)</f>
        <v/>
      </c>
      <c r="F18" s="28">
        <f>SUMIFS(Convoyages!$L$4:$L$153,Convoyages!$P$4:$P$153,$B$3,Convoyages!$Q$4:$Q$153,12)</f>
        <v/>
      </c>
      <c r="G18" s="28">
        <f>SUMIFS(Convoyages!$M$4:$M$153,Convoyages!$P$4:$P$153,$B$3,Convoyages!$Q$4:$Q$153,12)</f>
        <v/>
      </c>
      <c r="H18" s="28">
        <f>SUMIFS(Convoyages!$I$4:$I$153,Convoyages!$P$4:$P$153,$B$3,Convoyages!$Q$4:$Q$153,12)</f>
        <v/>
      </c>
      <c r="I18" s="28">
        <f>SUMIFS(Convoyages!$N$4:$N$153,Convoyages!$P$4:$P$153,$B$3,Convoyages!$Q$4:$Q$153,12)</f>
        <v/>
      </c>
      <c r="J18" s="29">
        <f>SUMIFS(Convoyages!$O$4:$O$153,Convoyages!$P$4:$P$153,$B$3,Convoyages!$Q$4:$Q$153,12)</f>
        <v/>
      </c>
    </row>
    <row r="19">
      <c r="A19" s="30" t="inlineStr">
        <is>
          <t>TOTAL ANNÉE</t>
        </is>
      </c>
      <c r="B19" s="31">
        <f>SUM(B7:B18)</f>
        <v/>
      </c>
      <c r="C19" s="32">
        <f>SUM(C7:C18)</f>
        <v/>
      </c>
      <c r="D19" s="33">
        <f>SUM(D7:D18)</f>
        <v/>
      </c>
      <c r="E19" s="33">
        <f>SUM(E7:E18)</f>
        <v/>
      </c>
      <c r="F19" s="33">
        <f>SUM(F7:F18)</f>
        <v/>
      </c>
      <c r="G19" s="33">
        <f>SUM(G7:G18)</f>
        <v/>
      </c>
      <c r="H19" s="33">
        <f>SUM(H7:H18)</f>
        <v/>
      </c>
      <c r="I19" s="33">
        <f>SUM(I7:I18)</f>
        <v/>
      </c>
      <c r="J19" s="34">
        <f>SUM(J7:J18)</f>
        <v/>
      </c>
    </row>
    <row r="21">
      <c r="A21" s="24" t="inlineStr">
        <is>
          <t xml:space="preserve">  Par convoyeur (toutes périodes)</t>
        </is>
      </c>
    </row>
    <row r="22">
      <c r="A22" s="13" t="inlineStr">
        <is>
          <t>Convoyeur</t>
        </is>
      </c>
      <c r="B22" s="13" t="inlineStr">
        <is>
          <t>Nb convoyages</t>
        </is>
      </c>
      <c r="C22" s="13" t="inlineStr">
        <is>
          <t>Distance (km)</t>
        </is>
      </c>
      <c r="D22" s="13" t="inlineStr">
        <is>
          <t>CA HT (€)</t>
        </is>
      </c>
      <c r="E22" s="13" t="inlineStr">
        <is>
          <t>Carburant (€)</t>
        </is>
      </c>
      <c r="F22" s="13" t="inlineStr">
        <is>
          <t>Péages (€)</t>
        </is>
      </c>
      <c r="G22" s="13" t="inlineStr">
        <is>
          <t>Nourriture (€)</t>
        </is>
      </c>
      <c r="H22" s="13" t="inlineStr">
        <is>
          <t>TVA collectée (€)</t>
        </is>
      </c>
      <c r="I22" s="13" t="inlineStr">
        <is>
          <t>TVA déductible (€)</t>
        </is>
      </c>
      <c r="J22" s="13" t="inlineStr">
        <is>
          <t>Bénéfice (€)</t>
        </is>
      </c>
    </row>
    <row r="23">
      <c r="A23" s="25">
        <f>Convoyeurs!$A$3</f>
        <v/>
      </c>
      <c r="B23" s="26">
        <f>COUNTIFS(Convoyages!$B$4:$B$153,$A23)</f>
        <v/>
      </c>
      <c r="C23" s="27">
        <f>SUMIFS(Convoyages!$G$4:$G$153,Convoyages!$B$4:$B$153,$A23)</f>
        <v/>
      </c>
      <c r="D23" s="28">
        <f>SUMIFS(Convoyages!$H$4:$H$153,Convoyages!$B$4:$B$153,$A23)</f>
        <v/>
      </c>
      <c r="E23" s="28">
        <f>SUMIFS(Convoyages!$K$4:$K$153,Convoyages!$B$4:$B$153,$A23)</f>
        <v/>
      </c>
      <c r="F23" s="28">
        <f>SUMIFS(Convoyages!$L$4:$L$153,Convoyages!$B$4:$B$153,$A23)</f>
        <v/>
      </c>
      <c r="G23" s="28">
        <f>SUMIFS(Convoyages!$M$4:$M$153,Convoyages!$B$4:$B$153,$A23)</f>
        <v/>
      </c>
      <c r="H23" s="28">
        <f>SUMIFS(Convoyages!$I$4:$I$153,Convoyages!$B$4:$B$153,$A23)</f>
        <v/>
      </c>
      <c r="I23" s="28">
        <f>SUMIFS(Convoyages!$N$4:$N$153,Convoyages!$B$4:$B$153,$A23)</f>
        <v/>
      </c>
      <c r="J23" s="29">
        <f>SUMIFS(Convoyages!$O$4:$O$153,Convoyages!$B$4:$B$153,$A23)</f>
        <v/>
      </c>
    </row>
    <row r="24">
      <c r="A24" s="25">
        <f>Convoyeurs!$A$4</f>
        <v/>
      </c>
      <c r="B24" s="26">
        <f>COUNTIFS(Convoyages!$B$4:$B$153,$A24)</f>
        <v/>
      </c>
      <c r="C24" s="27">
        <f>SUMIFS(Convoyages!$G$4:$G$153,Convoyages!$B$4:$B$153,$A24)</f>
        <v/>
      </c>
      <c r="D24" s="28">
        <f>SUMIFS(Convoyages!$H$4:$H$153,Convoyages!$B$4:$B$153,$A24)</f>
        <v/>
      </c>
      <c r="E24" s="28">
        <f>SUMIFS(Convoyages!$K$4:$K$153,Convoyages!$B$4:$B$153,$A24)</f>
        <v/>
      </c>
      <c r="F24" s="28">
        <f>SUMIFS(Convoyages!$L$4:$L$153,Convoyages!$B$4:$B$153,$A24)</f>
        <v/>
      </c>
      <c r="G24" s="28">
        <f>SUMIFS(Convoyages!$M$4:$M$153,Convoyages!$B$4:$B$153,$A24)</f>
        <v/>
      </c>
      <c r="H24" s="28">
        <f>SUMIFS(Convoyages!$I$4:$I$153,Convoyages!$B$4:$B$153,$A24)</f>
        <v/>
      </c>
      <c r="I24" s="28">
        <f>SUMIFS(Convoyages!$N$4:$N$153,Convoyages!$B$4:$B$153,$A24)</f>
        <v/>
      </c>
      <c r="J24" s="29">
        <f>SUMIFS(Convoyages!$O$4:$O$153,Convoyages!$B$4:$B$153,$A24)</f>
        <v/>
      </c>
    </row>
    <row r="25">
      <c r="A25" s="25">
        <f>Convoyeurs!$A$5</f>
        <v/>
      </c>
      <c r="B25" s="26">
        <f>COUNTIFS(Convoyages!$B$4:$B$153,$A25)</f>
        <v/>
      </c>
      <c r="C25" s="27">
        <f>SUMIFS(Convoyages!$G$4:$G$153,Convoyages!$B$4:$B$153,$A25)</f>
        <v/>
      </c>
      <c r="D25" s="28">
        <f>SUMIFS(Convoyages!$H$4:$H$153,Convoyages!$B$4:$B$153,$A25)</f>
        <v/>
      </c>
      <c r="E25" s="28">
        <f>SUMIFS(Convoyages!$K$4:$K$153,Convoyages!$B$4:$B$153,$A25)</f>
        <v/>
      </c>
      <c r="F25" s="28">
        <f>SUMIFS(Convoyages!$L$4:$L$153,Convoyages!$B$4:$B$153,$A25)</f>
        <v/>
      </c>
      <c r="G25" s="28">
        <f>SUMIFS(Convoyages!$M$4:$M$153,Convoyages!$B$4:$B$153,$A25)</f>
        <v/>
      </c>
      <c r="H25" s="28">
        <f>SUMIFS(Convoyages!$I$4:$I$153,Convoyages!$B$4:$B$153,$A25)</f>
        <v/>
      </c>
      <c r="I25" s="28">
        <f>SUMIFS(Convoyages!$N$4:$N$153,Convoyages!$B$4:$B$153,$A25)</f>
        <v/>
      </c>
      <c r="J25" s="29">
        <f>SUMIFS(Convoyages!$O$4:$O$153,Convoyages!$B$4:$B$153,$A25)</f>
        <v/>
      </c>
    </row>
    <row r="26">
      <c r="A26" s="25">
        <f>Convoyeurs!$A$6</f>
        <v/>
      </c>
      <c r="B26" s="26">
        <f>COUNTIFS(Convoyages!$B$4:$B$153,$A26)</f>
        <v/>
      </c>
      <c r="C26" s="27">
        <f>SUMIFS(Convoyages!$G$4:$G$153,Convoyages!$B$4:$B$153,$A26)</f>
        <v/>
      </c>
      <c r="D26" s="28">
        <f>SUMIFS(Convoyages!$H$4:$H$153,Convoyages!$B$4:$B$153,$A26)</f>
        <v/>
      </c>
      <c r="E26" s="28">
        <f>SUMIFS(Convoyages!$K$4:$K$153,Convoyages!$B$4:$B$153,$A26)</f>
        <v/>
      </c>
      <c r="F26" s="28">
        <f>SUMIFS(Convoyages!$L$4:$L$153,Convoyages!$B$4:$B$153,$A26)</f>
        <v/>
      </c>
      <c r="G26" s="28">
        <f>SUMIFS(Convoyages!$M$4:$M$153,Convoyages!$B$4:$B$153,$A26)</f>
        <v/>
      </c>
      <c r="H26" s="28">
        <f>SUMIFS(Convoyages!$I$4:$I$153,Convoyages!$B$4:$B$153,$A26)</f>
        <v/>
      </c>
      <c r="I26" s="28">
        <f>SUMIFS(Convoyages!$N$4:$N$153,Convoyages!$B$4:$B$153,$A26)</f>
        <v/>
      </c>
      <c r="J26" s="29">
        <f>SUMIFS(Convoyages!$O$4:$O$153,Convoyages!$B$4:$B$153,$A26)</f>
        <v/>
      </c>
    </row>
    <row r="28">
      <c r="A28" s="21" t="inlineStr">
        <is>
          <t>Astuce : le détail par jour se lit directement dans l'onglet Convoyages (triable par Date).</t>
        </is>
      </c>
    </row>
  </sheetData>
  <mergeCells count="3">
    <mergeCell ref="A1:J1"/>
    <mergeCell ref="A21:J21"/>
    <mergeCell ref="A5:J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12" customWidth="1" min="4" max="4"/>
  </cols>
  <sheetData>
    <row r="1">
      <c r="A1" s="35" t="inlineStr">
        <is>
          <t>Convoyeurs</t>
        </is>
      </c>
    </row>
    <row r="2">
      <c r="A2" s="36" t="inlineStr">
        <is>
          <t>Nom du convoyeur</t>
        </is>
      </c>
      <c r="B2" s="36" t="inlineStr">
        <is>
          <t>Téléphone</t>
        </is>
      </c>
      <c r="C2" s="36" t="inlineStr">
        <is>
          <t>Email</t>
        </is>
      </c>
      <c r="D2" s="36" t="inlineStr">
        <is>
          <t>Statut</t>
        </is>
      </c>
    </row>
    <row r="3">
      <c r="A3" s="37" t="inlineStr">
        <is>
          <t>Mamadou Bah</t>
        </is>
      </c>
      <c r="B3" s="38" t="inlineStr">
        <is>
          <t>+33 6 12 34 56 78</t>
        </is>
      </c>
      <c r="C3" s="38" t="inlineStr">
        <is>
          <t>mamadou.bah@axis-import.fr</t>
        </is>
      </c>
      <c r="D3" s="38" t="inlineStr">
        <is>
          <t>Actif</t>
        </is>
      </c>
    </row>
    <row r="4">
      <c r="A4" s="37" t="inlineStr">
        <is>
          <t>Karim Diallo</t>
        </is>
      </c>
      <c r="B4" s="38" t="inlineStr">
        <is>
          <t>+33 6 23 45 67 89</t>
        </is>
      </c>
      <c r="C4" s="38" t="inlineStr">
        <is>
          <t>karim.diallo@axis-import.fr</t>
        </is>
      </c>
      <c r="D4" s="38" t="inlineStr">
        <is>
          <t>Actif</t>
        </is>
      </c>
    </row>
    <row r="5">
      <c r="A5" s="37" t="inlineStr">
        <is>
          <t>Awa Ndiaye</t>
        </is>
      </c>
      <c r="B5" s="38" t="inlineStr">
        <is>
          <t>+33 6 34 56 78 90</t>
        </is>
      </c>
      <c r="C5" s="38" t="inlineStr">
        <is>
          <t>awa.ndiaye@axis-import.fr</t>
        </is>
      </c>
      <c r="D5" s="38" t="inlineStr">
        <is>
          <t>Actif</t>
        </is>
      </c>
    </row>
    <row r="6">
      <c r="A6" s="37" t="inlineStr">
        <is>
          <t>Julien Moreau</t>
        </is>
      </c>
      <c r="B6" s="38" t="inlineStr">
        <is>
          <t>+33 6 45 67 89 01</t>
        </is>
      </c>
      <c r="C6" s="38" t="inlineStr">
        <is>
          <t>julien.moreau@axis-import.fr</t>
        </is>
      </c>
      <c r="D6" s="38" t="inlineStr">
        <is>
          <t>Actif</t>
        </is>
      </c>
    </row>
    <row r="7">
      <c r="A7" s="39" t="n"/>
    </row>
    <row r="8">
      <c r="A8" s="39" t="n"/>
    </row>
    <row r="9">
      <c r="A9" s="39" t="n"/>
    </row>
    <row r="10">
      <c r="A10" s="39" t="n"/>
    </row>
    <row r="11">
      <c r="A11" s="39" t="n"/>
    </row>
    <row r="12">
      <c r="A12" s="39" t="n"/>
    </row>
    <row r="13">
      <c r="A13" s="39" t="n"/>
    </row>
    <row r="14">
      <c r="A14" s="39" t="n"/>
    </row>
    <row r="15">
      <c r="A15" s="39" t="n"/>
    </row>
    <row r="16">
      <c r="A16" s="39" t="n"/>
    </row>
    <row r="17">
      <c r="A17" s="39" t="n"/>
    </row>
    <row r="18">
      <c r="A18" s="39" t="n"/>
    </row>
    <row r="19">
      <c r="A19" s="39" t="n"/>
    </row>
    <row r="20">
      <c r="A20" s="39" t="n"/>
    </row>
    <row r="21">
      <c r="A21" s="39" t="n"/>
    </row>
    <row r="22">
      <c r="A22" s="39" t="n"/>
    </row>
    <row r="23">
      <c r="A23" s="39" t="n"/>
    </row>
    <row r="24">
      <c r="A24" s="39" t="n"/>
    </row>
    <row r="25">
      <c r="A25" s="39" t="n"/>
    </row>
    <row r="26">
      <c r="A26" s="39" t="n"/>
    </row>
    <row r="27">
      <c r="A27" s="39" t="n"/>
    </row>
    <row r="28">
      <c r="A28" s="39" t="n"/>
    </row>
    <row r="29">
      <c r="A29" s="39" t="n"/>
    </row>
    <row r="30">
      <c r="A30" s="39" t="n"/>
    </row>
    <row r="31">
      <c r="A31" s="39" t="n"/>
    </row>
    <row r="32">
      <c r="A32" s="39" t="n"/>
    </row>
    <row r="33">
      <c r="A33" s="39" t="n"/>
    </row>
    <row r="34">
      <c r="A34" s="39" t="n"/>
    </row>
    <row r="35">
      <c r="A35" s="39" t="n"/>
    </row>
    <row r="36">
      <c r="A36" s="39" t="n"/>
    </row>
    <row r="37">
      <c r="A37" s="39" t="n"/>
    </row>
    <row r="38">
      <c r="A38" s="39" t="n"/>
    </row>
    <row r="39">
      <c r="A39" s="39" t="n"/>
    </row>
    <row r="40">
      <c r="A40" s="39" t="n"/>
    </row>
    <row r="41">
      <c r="A41" s="39" t="n"/>
    </row>
    <row r="42">
      <c r="A42" s="39" t="n"/>
    </row>
    <row r="43">
      <c r="A43" s="39" t="n"/>
    </row>
    <row r="44">
      <c r="A44" s="39" t="n"/>
    </row>
    <row r="45">
      <c r="A45" s="39" t="n"/>
    </row>
    <row r="46">
      <c r="A46" s="39" t="n"/>
    </row>
    <row r="47">
      <c r="A47" s="39" t="n"/>
    </row>
    <row r="48">
      <c r="A48" s="39" t="n"/>
    </row>
    <row r="49">
      <c r="A49" s="39" t="n"/>
    </row>
    <row r="50">
      <c r="A50" s="39" t="n"/>
    </row>
    <row r="51">
      <c r="A51" s="39" t="n"/>
    </row>
    <row r="52">
      <c r="A52" s="39" t="n"/>
    </row>
    <row r="53">
      <c r="A53" s="39" t="n"/>
    </row>
    <row r="54">
      <c r="A54" s="39" t="n"/>
    </row>
    <row r="55">
      <c r="A55" s="39" t="n"/>
    </row>
    <row r="56">
      <c r="A56" s="39" t="n"/>
    </row>
    <row r="57">
      <c r="A57" s="39" t="n"/>
    </row>
    <row r="58">
      <c r="A58" s="39" t="n"/>
    </row>
    <row r="59">
      <c r="A59" s="39" t="n"/>
    </row>
    <row r="60">
      <c r="A60" s="39" t="n"/>
    </row>
    <row r="61">
      <c r="A61" s="39" t="n"/>
    </row>
    <row r="62">
      <c r="A62" s="39" t="n"/>
    </row>
    <row r="63">
      <c r="A63" s="39" t="n"/>
    </row>
    <row r="64">
      <c r="A64" s="39" t="n"/>
    </row>
    <row r="65">
      <c r="A65" s="39" t="n"/>
    </row>
    <row r="66">
      <c r="A66" s="39" t="n"/>
    </row>
    <row r="67">
      <c r="A67" s="39" t="n"/>
    </row>
    <row r="68">
      <c r="A68" s="39" t="n"/>
    </row>
    <row r="69">
      <c r="A69" s="39" t="n"/>
    </row>
    <row r="70">
      <c r="A70" s="39" t="n"/>
    </row>
    <row r="71">
      <c r="A71" s="39" t="n"/>
    </row>
    <row r="72">
      <c r="A72" s="39" t="n"/>
    </row>
    <row r="73">
      <c r="A73" s="39" t="n"/>
    </row>
    <row r="74">
      <c r="A74" s="39" t="n"/>
    </row>
    <row r="75">
      <c r="A75" s="39" t="n"/>
    </row>
    <row r="76">
      <c r="A76" s="39" t="n"/>
    </row>
    <row r="77">
      <c r="A77" s="39" t="n"/>
    </row>
    <row r="78">
      <c r="A78" s="39" t="n"/>
    </row>
    <row r="79">
      <c r="A79" s="39" t="n"/>
    </row>
    <row r="80">
      <c r="A80" s="39" t="n"/>
    </row>
    <row r="81">
      <c r="A81" s="39" t="n"/>
    </row>
    <row r="82">
      <c r="A82" s="39" t="n"/>
    </row>
    <row r="83">
      <c r="A83" s="39" t="n"/>
    </row>
    <row r="84">
      <c r="A84" s="39" t="n"/>
    </row>
    <row r="85">
      <c r="A85" s="39" t="n"/>
    </row>
    <row r="86">
      <c r="A86" s="39" t="n"/>
    </row>
    <row r="87">
      <c r="A87" s="39" t="n"/>
    </row>
    <row r="88">
      <c r="A88" s="39" t="n"/>
    </row>
    <row r="89">
      <c r="A89" s="39" t="n"/>
    </row>
    <row r="90">
      <c r="A90" s="39" t="n"/>
    </row>
    <row r="91">
      <c r="A91" s="39" t="n"/>
    </row>
    <row r="92">
      <c r="A92" s="39" t="n"/>
    </row>
    <row r="93">
      <c r="A93" s="39" t="n"/>
    </row>
    <row r="94">
      <c r="A94" s="39" t="n"/>
    </row>
    <row r="95">
      <c r="A95" s="39" t="n"/>
    </row>
    <row r="96">
      <c r="A96" s="39" t="n"/>
    </row>
    <row r="97">
      <c r="A97" s="39" t="n"/>
    </row>
    <row r="98">
      <c r="A98" s="39" t="n"/>
    </row>
    <row r="99">
      <c r="A99" s="39" t="n"/>
    </row>
    <row r="100">
      <c r="A100" s="39" t="n"/>
    </row>
    <row r="101">
      <c r="A101" s="39" t="n"/>
    </row>
    <row r="102">
      <c r="A102" s="39" t="n"/>
    </row>
    <row r="103">
      <c r="A103" s="39" t="n"/>
    </row>
    <row r="104">
      <c r="A104" s="39" t="n"/>
    </row>
    <row r="105">
      <c r="A105" s="39" t="n"/>
    </row>
    <row r="106">
      <c r="A106" s="39" t="n"/>
    </row>
    <row r="107">
      <c r="A107" s="39" t="n"/>
    </row>
    <row r="108">
      <c r="A108" s="39" t="n"/>
    </row>
    <row r="109">
      <c r="A109" s="39" t="n"/>
    </row>
    <row r="110">
      <c r="A110" s="39" t="n"/>
    </row>
    <row r="111">
      <c r="A111" s="39" t="n"/>
    </row>
    <row r="112">
      <c r="A112" s="39" t="n"/>
    </row>
    <row r="113">
      <c r="A113" s="39" t="n"/>
    </row>
    <row r="114">
      <c r="A114" s="39" t="n"/>
    </row>
    <row r="115">
      <c r="A115" s="39" t="n"/>
    </row>
    <row r="116">
      <c r="A116" s="39" t="n"/>
    </row>
    <row r="117">
      <c r="A117" s="39" t="n"/>
    </row>
    <row r="118">
      <c r="A118" s="39" t="n"/>
    </row>
    <row r="119">
      <c r="A119" s="39" t="n"/>
    </row>
    <row r="120">
      <c r="A120" s="39" t="n"/>
    </row>
    <row r="121">
      <c r="A121" s="39" t="n"/>
    </row>
    <row r="122">
      <c r="A122" s="39" t="n"/>
    </row>
    <row r="123">
      <c r="A123" s="39" t="n"/>
    </row>
    <row r="124">
      <c r="A124" s="39" t="n"/>
    </row>
    <row r="125">
      <c r="A125" s="39" t="n"/>
    </row>
    <row r="126">
      <c r="A126" s="39" t="n"/>
    </row>
    <row r="127">
      <c r="A127" s="39" t="n"/>
    </row>
    <row r="128">
      <c r="A128" s="39" t="n"/>
    </row>
    <row r="129">
      <c r="A129" s="39" t="n"/>
    </row>
    <row r="130">
      <c r="A130" s="39" t="n"/>
    </row>
    <row r="131">
      <c r="A131" s="39" t="n"/>
    </row>
    <row r="132">
      <c r="A132" s="39" t="n"/>
    </row>
    <row r="133">
      <c r="A133" s="39" t="n"/>
    </row>
    <row r="134">
      <c r="A134" s="39" t="n"/>
    </row>
    <row r="135">
      <c r="A135" s="39" t="n"/>
    </row>
    <row r="136">
      <c r="A136" s="39" t="n"/>
    </row>
    <row r="137">
      <c r="A137" s="39" t="n"/>
    </row>
    <row r="138">
      <c r="A138" s="39" t="n"/>
    </row>
    <row r="139">
      <c r="A139" s="39" t="n"/>
    </row>
    <row r="140">
      <c r="A140" s="39" t="n"/>
    </row>
    <row r="141">
      <c r="A141" s="39" t="n"/>
    </row>
    <row r="142">
      <c r="A142" s="39" t="n"/>
    </row>
    <row r="143">
      <c r="A143" s="39" t="n"/>
    </row>
    <row r="144">
      <c r="A144" s="39" t="n"/>
    </row>
    <row r="145">
      <c r="A145" s="39" t="n"/>
    </row>
    <row r="146">
      <c r="A146" s="39" t="n"/>
    </row>
    <row r="147">
      <c r="A147" s="39" t="n"/>
    </row>
    <row r="148">
      <c r="A148" s="39" t="n"/>
    </row>
    <row r="149">
      <c r="A149" s="39" t="n"/>
    </row>
    <row r="150">
      <c r="A150" s="39" t="n"/>
    </row>
    <row r="151">
      <c r="A151" s="39" t="n"/>
    </row>
    <row r="152">
      <c r="A152" s="39" t="n"/>
    </row>
    <row r="153">
      <c r="A153" s="39" t="n"/>
    </row>
    <row r="154">
      <c r="A154" s="39" t="n"/>
    </row>
    <row r="155">
      <c r="A155" s="39" t="n"/>
    </row>
    <row r="156">
      <c r="A156" s="39" t="n"/>
    </row>
    <row r="157">
      <c r="A157" s="39" t="n"/>
    </row>
    <row r="158">
      <c r="A158" s="39" t="n"/>
    </row>
    <row r="159">
      <c r="A159" s="39" t="n"/>
    </row>
    <row r="160">
      <c r="A160" s="39" t="n"/>
    </row>
    <row r="161">
      <c r="A161" s="39" t="n"/>
    </row>
    <row r="162">
      <c r="A162" s="39" t="n"/>
    </row>
    <row r="163">
      <c r="A163" s="39" t="n"/>
    </row>
    <row r="164">
      <c r="A164" s="39" t="n"/>
    </row>
    <row r="165">
      <c r="A165" s="39" t="n"/>
    </row>
    <row r="166">
      <c r="A166" s="39" t="n"/>
    </row>
    <row r="167">
      <c r="A167" s="39" t="n"/>
    </row>
    <row r="168">
      <c r="A168" s="39" t="n"/>
    </row>
    <row r="169">
      <c r="A169" s="39" t="n"/>
    </row>
    <row r="170">
      <c r="A170" s="39" t="n"/>
    </row>
    <row r="171">
      <c r="A171" s="39" t="n"/>
    </row>
    <row r="172">
      <c r="A172" s="39" t="n"/>
    </row>
    <row r="173">
      <c r="A173" s="39" t="n"/>
    </row>
    <row r="174">
      <c r="A174" s="39" t="n"/>
    </row>
    <row r="175">
      <c r="A175" s="39" t="n"/>
    </row>
    <row r="176">
      <c r="A176" s="39" t="n"/>
    </row>
    <row r="177">
      <c r="A177" s="39" t="n"/>
    </row>
    <row r="178">
      <c r="A178" s="39" t="n"/>
    </row>
    <row r="179">
      <c r="A179" s="39" t="n"/>
    </row>
    <row r="180">
      <c r="A180" s="39" t="n"/>
    </row>
    <row r="181">
      <c r="A181" s="39" t="n"/>
    </row>
    <row r="182">
      <c r="A182" s="39" t="n"/>
    </row>
    <row r="183">
      <c r="A183" s="39" t="n"/>
    </row>
    <row r="184">
      <c r="A184" s="39" t="n"/>
    </row>
    <row r="185">
      <c r="A185" s="39" t="n"/>
    </row>
    <row r="186">
      <c r="A186" s="39" t="n"/>
    </row>
    <row r="187">
      <c r="A187" s="39" t="n"/>
    </row>
    <row r="188">
      <c r="A188" s="39" t="n"/>
    </row>
    <row r="189">
      <c r="A189" s="39" t="n"/>
    </row>
    <row r="190">
      <c r="A190" s="39" t="n"/>
    </row>
    <row r="191">
      <c r="A191" s="39" t="n"/>
    </row>
    <row r="192">
      <c r="A192" s="39" t="n"/>
    </row>
    <row r="193">
      <c r="A193" s="39" t="n"/>
    </row>
    <row r="194">
      <c r="A194" s="39" t="n"/>
    </row>
    <row r="195">
      <c r="A195" s="39" t="n"/>
    </row>
    <row r="196">
      <c r="A196" s="39" t="n"/>
    </row>
    <row r="197">
      <c r="A197" s="39" t="n"/>
    </row>
    <row r="198">
      <c r="A198" s="39" t="n"/>
    </row>
    <row r="199">
      <c r="A199" s="39" t="n"/>
    </row>
    <row r="200">
      <c r="A200" s="39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</cols>
  <sheetData>
    <row r="1">
      <c r="A1" s="35" t="inlineStr">
        <is>
          <t>Clients</t>
        </is>
      </c>
    </row>
    <row r="2">
      <c r="A2" s="36" t="inlineStr">
        <is>
          <t>Nom du client</t>
        </is>
      </c>
      <c r="B2" s="36" t="inlineStr">
        <is>
          <t>Type</t>
        </is>
      </c>
      <c r="C2" s="36" t="inlineStr">
        <is>
          <t>Contact</t>
        </is>
      </c>
    </row>
    <row r="3">
      <c r="A3" s="37" t="inlineStr">
        <is>
          <t>Transports Diallo SARL</t>
        </is>
      </c>
      <c r="B3" s="38" t="inlineStr">
        <is>
          <t>Professionnel</t>
        </is>
      </c>
      <c r="C3" s="38" t="inlineStr">
        <is>
          <t>+33 1 40 00 00 00</t>
        </is>
      </c>
    </row>
    <row r="4">
      <c r="A4" s="37" t="inlineStr">
        <is>
          <t>M. Amadou Sow</t>
        </is>
      </c>
      <c r="B4" s="38" t="inlineStr">
        <is>
          <t>Particulier</t>
        </is>
      </c>
      <c r="C4" s="38" t="inlineStr">
        <is>
          <t>+33 6 00 00 00 01</t>
        </is>
      </c>
    </row>
    <row r="5">
      <c r="A5" s="37" t="inlineStr">
        <is>
          <t>Auto Prestige Lyon</t>
        </is>
      </c>
      <c r="B5" s="38" t="inlineStr">
        <is>
          <t>Professionnel</t>
        </is>
      </c>
      <c r="C5" s="38" t="inlineStr">
        <is>
          <t>+33 4 78 00 00 00</t>
        </is>
      </c>
    </row>
    <row r="6">
      <c r="A6" s="39" t="n"/>
    </row>
    <row r="7">
      <c r="A7" s="39" t="n"/>
    </row>
    <row r="8">
      <c r="A8" s="39" t="n"/>
    </row>
    <row r="9">
      <c r="A9" s="39" t="n"/>
    </row>
    <row r="10">
      <c r="A10" s="39" t="n"/>
    </row>
    <row r="11">
      <c r="A11" s="39" t="n"/>
    </row>
    <row r="12">
      <c r="A12" s="39" t="n"/>
    </row>
    <row r="13">
      <c r="A13" s="39" t="n"/>
    </row>
    <row r="14">
      <c r="A14" s="39" t="n"/>
    </row>
    <row r="15">
      <c r="A15" s="39" t="n"/>
    </row>
    <row r="16">
      <c r="A16" s="39" t="n"/>
    </row>
    <row r="17">
      <c r="A17" s="39" t="n"/>
    </row>
    <row r="18">
      <c r="A18" s="39" t="n"/>
    </row>
    <row r="19">
      <c r="A19" s="39" t="n"/>
    </row>
    <row r="20">
      <c r="A20" s="39" t="n"/>
    </row>
    <row r="21">
      <c r="A21" s="39" t="n"/>
    </row>
    <row r="22">
      <c r="A22" s="39" t="n"/>
    </row>
    <row r="23">
      <c r="A23" s="39" t="n"/>
    </row>
    <row r="24">
      <c r="A24" s="39" t="n"/>
    </row>
    <row r="25">
      <c r="A25" s="39" t="n"/>
    </row>
    <row r="26">
      <c r="A26" s="39" t="n"/>
    </row>
    <row r="27">
      <c r="A27" s="39" t="n"/>
    </row>
    <row r="28">
      <c r="A28" s="39" t="n"/>
    </row>
    <row r="29">
      <c r="A29" s="39" t="n"/>
    </row>
    <row r="30">
      <c r="A30" s="39" t="n"/>
    </row>
    <row r="31">
      <c r="A31" s="39" t="n"/>
    </row>
    <row r="32">
      <c r="A32" s="39" t="n"/>
    </row>
    <row r="33">
      <c r="A33" s="39" t="n"/>
    </row>
    <row r="34">
      <c r="A34" s="39" t="n"/>
    </row>
    <row r="35">
      <c r="A35" s="39" t="n"/>
    </row>
    <row r="36">
      <c r="A36" s="39" t="n"/>
    </row>
    <row r="37">
      <c r="A37" s="39" t="n"/>
    </row>
    <row r="38">
      <c r="A38" s="39" t="n"/>
    </row>
    <row r="39">
      <c r="A39" s="39" t="n"/>
    </row>
    <row r="40">
      <c r="A40" s="39" t="n"/>
    </row>
    <row r="41">
      <c r="A41" s="39" t="n"/>
    </row>
    <row r="42">
      <c r="A42" s="39" t="n"/>
    </row>
    <row r="43">
      <c r="A43" s="39" t="n"/>
    </row>
    <row r="44">
      <c r="A44" s="39" t="n"/>
    </row>
    <row r="45">
      <c r="A45" s="39" t="n"/>
    </row>
    <row r="46">
      <c r="A46" s="39" t="n"/>
    </row>
    <row r="47">
      <c r="A47" s="39" t="n"/>
    </row>
    <row r="48">
      <c r="A48" s="39" t="n"/>
    </row>
    <row r="49">
      <c r="A49" s="39" t="n"/>
    </row>
    <row r="50">
      <c r="A50" s="39" t="n"/>
    </row>
    <row r="51">
      <c r="A51" s="39" t="n"/>
    </row>
    <row r="52">
      <c r="A52" s="39" t="n"/>
    </row>
    <row r="53">
      <c r="A53" s="39" t="n"/>
    </row>
    <row r="54">
      <c r="A54" s="39" t="n"/>
    </row>
    <row r="55">
      <c r="A55" s="39" t="n"/>
    </row>
    <row r="56">
      <c r="A56" s="39" t="n"/>
    </row>
    <row r="57">
      <c r="A57" s="39" t="n"/>
    </row>
    <row r="58">
      <c r="A58" s="39" t="n"/>
    </row>
    <row r="59">
      <c r="A59" s="39" t="n"/>
    </row>
    <row r="60">
      <c r="A60" s="39" t="n"/>
    </row>
    <row r="61">
      <c r="A61" s="39" t="n"/>
    </row>
    <row r="62">
      <c r="A62" s="39" t="n"/>
    </row>
    <row r="63">
      <c r="A63" s="39" t="n"/>
    </row>
    <row r="64">
      <c r="A64" s="39" t="n"/>
    </row>
    <row r="65">
      <c r="A65" s="39" t="n"/>
    </row>
    <row r="66">
      <c r="A66" s="39" t="n"/>
    </row>
    <row r="67">
      <c r="A67" s="39" t="n"/>
    </row>
    <row r="68">
      <c r="A68" s="39" t="n"/>
    </row>
    <row r="69">
      <c r="A69" s="39" t="n"/>
    </row>
    <row r="70">
      <c r="A70" s="39" t="n"/>
    </row>
    <row r="71">
      <c r="A71" s="39" t="n"/>
    </row>
    <row r="72">
      <c r="A72" s="39" t="n"/>
    </row>
    <row r="73">
      <c r="A73" s="39" t="n"/>
    </row>
    <row r="74">
      <c r="A74" s="39" t="n"/>
    </row>
    <row r="75">
      <c r="A75" s="39" t="n"/>
    </row>
    <row r="76">
      <c r="A76" s="39" t="n"/>
    </row>
    <row r="77">
      <c r="A77" s="39" t="n"/>
    </row>
    <row r="78">
      <c r="A78" s="39" t="n"/>
    </row>
    <row r="79">
      <c r="A79" s="39" t="n"/>
    </row>
    <row r="80">
      <c r="A80" s="39" t="n"/>
    </row>
    <row r="81">
      <c r="A81" s="39" t="n"/>
    </row>
    <row r="82">
      <c r="A82" s="39" t="n"/>
    </row>
    <row r="83">
      <c r="A83" s="39" t="n"/>
    </row>
    <row r="84">
      <c r="A84" s="39" t="n"/>
    </row>
    <row r="85">
      <c r="A85" s="39" t="n"/>
    </row>
    <row r="86">
      <c r="A86" s="39" t="n"/>
    </row>
    <row r="87">
      <c r="A87" s="39" t="n"/>
    </row>
    <row r="88">
      <c r="A88" s="39" t="n"/>
    </row>
    <row r="89">
      <c r="A89" s="39" t="n"/>
    </row>
    <row r="90">
      <c r="A90" s="39" t="n"/>
    </row>
    <row r="91">
      <c r="A91" s="39" t="n"/>
    </row>
    <row r="92">
      <c r="A92" s="39" t="n"/>
    </row>
    <row r="93">
      <c r="A93" s="39" t="n"/>
    </row>
    <row r="94">
      <c r="A94" s="39" t="n"/>
    </row>
    <row r="95">
      <c r="A95" s="39" t="n"/>
    </row>
    <row r="96">
      <c r="A96" s="39" t="n"/>
    </row>
    <row r="97">
      <c r="A97" s="39" t="n"/>
    </row>
    <row r="98">
      <c r="A98" s="39" t="n"/>
    </row>
    <row r="99">
      <c r="A99" s="39" t="n"/>
    </row>
    <row r="100">
      <c r="A100" s="39" t="n"/>
    </row>
    <row r="101">
      <c r="A101" s="39" t="n"/>
    </row>
    <row r="102">
      <c r="A102" s="39" t="n"/>
    </row>
    <row r="103">
      <c r="A103" s="39" t="n"/>
    </row>
    <row r="104">
      <c r="A104" s="39" t="n"/>
    </row>
    <row r="105">
      <c r="A105" s="39" t="n"/>
    </row>
    <row r="106">
      <c r="A106" s="39" t="n"/>
    </row>
    <row r="107">
      <c r="A107" s="39" t="n"/>
    </row>
    <row r="108">
      <c r="A108" s="39" t="n"/>
    </row>
    <row r="109">
      <c r="A109" s="39" t="n"/>
    </row>
    <row r="110">
      <c r="A110" s="39" t="n"/>
    </row>
    <row r="111">
      <c r="A111" s="39" t="n"/>
    </row>
    <row r="112">
      <c r="A112" s="39" t="n"/>
    </row>
    <row r="113">
      <c r="A113" s="39" t="n"/>
    </row>
    <row r="114">
      <c r="A114" s="39" t="n"/>
    </row>
    <row r="115">
      <c r="A115" s="39" t="n"/>
    </row>
    <row r="116">
      <c r="A116" s="39" t="n"/>
    </row>
    <row r="117">
      <c r="A117" s="39" t="n"/>
    </row>
    <row r="118">
      <c r="A118" s="39" t="n"/>
    </row>
    <row r="119">
      <c r="A119" s="39" t="n"/>
    </row>
    <row r="120">
      <c r="A120" s="39" t="n"/>
    </row>
    <row r="121">
      <c r="A121" s="39" t="n"/>
    </row>
    <row r="122">
      <c r="A122" s="39" t="n"/>
    </row>
    <row r="123">
      <c r="A123" s="39" t="n"/>
    </row>
    <row r="124">
      <c r="A124" s="39" t="n"/>
    </row>
    <row r="125">
      <c r="A125" s="39" t="n"/>
    </row>
    <row r="126">
      <c r="A126" s="39" t="n"/>
    </row>
    <row r="127">
      <c r="A127" s="39" t="n"/>
    </row>
    <row r="128">
      <c r="A128" s="39" t="n"/>
    </row>
    <row r="129">
      <c r="A129" s="39" t="n"/>
    </row>
    <row r="130">
      <c r="A130" s="39" t="n"/>
    </row>
    <row r="131">
      <c r="A131" s="39" t="n"/>
    </row>
    <row r="132">
      <c r="A132" s="39" t="n"/>
    </row>
    <row r="133">
      <c r="A133" s="39" t="n"/>
    </row>
    <row r="134">
      <c r="A134" s="39" t="n"/>
    </row>
    <row r="135">
      <c r="A135" s="39" t="n"/>
    </row>
    <row r="136">
      <c r="A136" s="39" t="n"/>
    </row>
    <row r="137">
      <c r="A137" s="39" t="n"/>
    </row>
    <row r="138">
      <c r="A138" s="39" t="n"/>
    </row>
    <row r="139">
      <c r="A139" s="39" t="n"/>
    </row>
    <row r="140">
      <c r="A140" s="39" t="n"/>
    </row>
    <row r="141">
      <c r="A141" s="39" t="n"/>
    </row>
    <row r="142">
      <c r="A142" s="39" t="n"/>
    </row>
    <row r="143">
      <c r="A143" s="39" t="n"/>
    </row>
    <row r="144">
      <c r="A144" s="39" t="n"/>
    </row>
    <row r="145">
      <c r="A145" s="39" t="n"/>
    </row>
    <row r="146">
      <c r="A146" s="39" t="n"/>
    </row>
    <row r="147">
      <c r="A147" s="39" t="n"/>
    </row>
    <row r="148">
      <c r="A148" s="39" t="n"/>
    </row>
    <row r="149">
      <c r="A149" s="39" t="n"/>
    </row>
    <row r="150">
      <c r="A150" s="39" t="n"/>
    </row>
    <row r="151">
      <c r="A151" s="39" t="n"/>
    </row>
    <row r="152">
      <c r="A152" s="39" t="n"/>
    </row>
    <row r="153">
      <c r="A153" s="39" t="n"/>
    </row>
    <row r="154">
      <c r="A154" s="39" t="n"/>
    </row>
    <row r="155">
      <c r="A155" s="39" t="n"/>
    </row>
    <row r="156">
      <c r="A156" s="39" t="n"/>
    </row>
    <row r="157">
      <c r="A157" s="39" t="n"/>
    </row>
    <row r="158">
      <c r="A158" s="39" t="n"/>
    </row>
    <row r="159">
      <c r="A159" s="39" t="n"/>
    </row>
    <row r="160">
      <c r="A160" s="39" t="n"/>
    </row>
    <row r="161">
      <c r="A161" s="39" t="n"/>
    </row>
    <row r="162">
      <c r="A162" s="39" t="n"/>
    </row>
    <row r="163">
      <c r="A163" s="39" t="n"/>
    </row>
    <row r="164">
      <c r="A164" s="39" t="n"/>
    </row>
    <row r="165">
      <c r="A165" s="39" t="n"/>
    </row>
    <row r="166">
      <c r="A166" s="39" t="n"/>
    </row>
    <row r="167">
      <c r="A167" s="39" t="n"/>
    </row>
    <row r="168">
      <c r="A168" s="39" t="n"/>
    </row>
    <row r="169">
      <c r="A169" s="39" t="n"/>
    </row>
    <row r="170">
      <c r="A170" s="39" t="n"/>
    </row>
    <row r="171">
      <c r="A171" s="39" t="n"/>
    </row>
    <row r="172">
      <c r="A172" s="39" t="n"/>
    </row>
    <row r="173">
      <c r="A173" s="39" t="n"/>
    </row>
    <row r="174">
      <c r="A174" s="39" t="n"/>
    </row>
    <row r="175">
      <c r="A175" s="39" t="n"/>
    </row>
    <row r="176">
      <c r="A176" s="39" t="n"/>
    </row>
    <row r="177">
      <c r="A177" s="39" t="n"/>
    </row>
    <row r="178">
      <c r="A178" s="39" t="n"/>
    </row>
    <row r="179">
      <c r="A179" s="39" t="n"/>
    </row>
    <row r="180">
      <c r="A180" s="39" t="n"/>
    </row>
    <row r="181">
      <c r="A181" s="39" t="n"/>
    </row>
    <row r="182">
      <c r="A182" s="39" t="n"/>
    </row>
    <row r="183">
      <c r="A183" s="39" t="n"/>
    </row>
    <row r="184">
      <c r="A184" s="39" t="n"/>
    </row>
    <row r="185">
      <c r="A185" s="39" t="n"/>
    </row>
    <row r="186">
      <c r="A186" s="39" t="n"/>
    </row>
    <row r="187">
      <c r="A187" s="39" t="n"/>
    </row>
    <row r="188">
      <c r="A188" s="39" t="n"/>
    </row>
    <row r="189">
      <c r="A189" s="39" t="n"/>
    </row>
    <row r="190">
      <c r="A190" s="39" t="n"/>
    </row>
    <row r="191">
      <c r="A191" s="39" t="n"/>
    </row>
    <row r="192">
      <c r="A192" s="39" t="n"/>
    </row>
    <row r="193">
      <c r="A193" s="39" t="n"/>
    </row>
    <row r="194">
      <c r="A194" s="39" t="n"/>
    </row>
    <row r="195">
      <c r="A195" s="39" t="n"/>
    </row>
    <row r="196">
      <c r="A196" s="39" t="n"/>
    </row>
    <row r="197">
      <c r="A197" s="39" t="n"/>
    </row>
    <row r="198">
      <c r="A198" s="39" t="n"/>
    </row>
    <row r="199">
      <c r="A199" s="39" t="n"/>
    </row>
    <row r="200">
      <c r="A200" s="39" t="n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</cols>
  <sheetData>
    <row r="1">
      <c r="A1" s="35" t="inlineStr">
        <is>
          <t>Véhicules</t>
        </is>
      </c>
    </row>
    <row r="2">
      <c r="A2" s="36" t="inlineStr">
        <is>
          <t>Immatriculation</t>
        </is>
      </c>
      <c r="B2" s="36" t="inlineStr">
        <is>
          <t>Marque / Modèle</t>
        </is>
      </c>
      <c r="C2" s="36" t="inlineStr">
        <is>
          <t>Catégorie</t>
        </is>
      </c>
    </row>
    <row r="3">
      <c r="A3" s="37" t="inlineStr">
        <is>
          <t>AB-123-CD</t>
        </is>
      </c>
      <c r="B3" s="38" t="inlineStr">
        <is>
          <t>Peugeot 508</t>
        </is>
      </c>
      <c r="C3" s="38" t="inlineStr">
        <is>
          <t>Berline</t>
        </is>
      </c>
    </row>
    <row r="4">
      <c r="A4" s="37" t="inlineStr">
        <is>
          <t>EF-456-GH</t>
        </is>
      </c>
      <c r="B4" s="38" t="inlineStr">
        <is>
          <t>Renault Master</t>
        </is>
      </c>
      <c r="C4" s="38" t="inlineStr">
        <is>
          <t>Utilitaire</t>
        </is>
      </c>
    </row>
    <row r="5">
      <c r="A5" s="37" t="inlineStr">
        <is>
          <t>GT-820-RK</t>
        </is>
      </c>
      <c r="B5" s="38" t="inlineStr">
        <is>
          <t>Renault T480</t>
        </is>
      </c>
      <c r="C5" s="38" t="inlineStr">
        <is>
          <t>Poids lourd</t>
        </is>
      </c>
    </row>
    <row r="6">
      <c r="A6" s="37" t="inlineStr">
        <is>
          <t>IJ-789-KL</t>
        </is>
      </c>
      <c r="B6" s="38" t="inlineStr">
        <is>
          <t>BMW Série 3</t>
        </is>
      </c>
      <c r="C6" s="38" t="inlineStr">
        <is>
          <t>Berline</t>
        </is>
      </c>
    </row>
    <row r="7">
      <c r="A7" s="39" t="n"/>
    </row>
    <row r="8">
      <c r="A8" s="39" t="n"/>
    </row>
    <row r="9">
      <c r="A9" s="39" t="n"/>
    </row>
    <row r="10">
      <c r="A10" s="39" t="n"/>
    </row>
    <row r="11">
      <c r="A11" s="39" t="n"/>
    </row>
    <row r="12">
      <c r="A12" s="39" t="n"/>
    </row>
    <row r="13">
      <c r="A13" s="39" t="n"/>
    </row>
    <row r="14">
      <c r="A14" s="39" t="n"/>
    </row>
    <row r="15">
      <c r="A15" s="39" t="n"/>
    </row>
    <row r="16">
      <c r="A16" s="39" t="n"/>
    </row>
    <row r="17">
      <c r="A17" s="39" t="n"/>
    </row>
    <row r="18">
      <c r="A18" s="39" t="n"/>
    </row>
    <row r="19">
      <c r="A19" s="39" t="n"/>
    </row>
    <row r="20">
      <c r="A20" s="39" t="n"/>
    </row>
    <row r="21">
      <c r="A21" s="39" t="n"/>
    </row>
    <row r="22">
      <c r="A22" s="39" t="n"/>
    </row>
    <row r="23">
      <c r="A23" s="39" t="n"/>
    </row>
    <row r="24">
      <c r="A24" s="39" t="n"/>
    </row>
    <row r="25">
      <c r="A25" s="39" t="n"/>
    </row>
    <row r="26">
      <c r="A26" s="39" t="n"/>
    </row>
    <row r="27">
      <c r="A27" s="39" t="n"/>
    </row>
    <row r="28">
      <c r="A28" s="39" t="n"/>
    </row>
    <row r="29">
      <c r="A29" s="39" t="n"/>
    </row>
    <row r="30">
      <c r="A30" s="39" t="n"/>
    </row>
    <row r="31">
      <c r="A31" s="39" t="n"/>
    </row>
    <row r="32">
      <c r="A32" s="39" t="n"/>
    </row>
    <row r="33">
      <c r="A33" s="39" t="n"/>
    </row>
    <row r="34">
      <c r="A34" s="39" t="n"/>
    </row>
    <row r="35">
      <c r="A35" s="39" t="n"/>
    </row>
    <row r="36">
      <c r="A36" s="39" t="n"/>
    </row>
    <row r="37">
      <c r="A37" s="39" t="n"/>
    </row>
    <row r="38">
      <c r="A38" s="39" t="n"/>
    </row>
    <row r="39">
      <c r="A39" s="39" t="n"/>
    </row>
    <row r="40">
      <c r="A40" s="39" t="n"/>
    </row>
    <row r="41">
      <c r="A41" s="39" t="n"/>
    </row>
    <row r="42">
      <c r="A42" s="39" t="n"/>
    </row>
    <row r="43">
      <c r="A43" s="39" t="n"/>
    </row>
    <row r="44">
      <c r="A44" s="39" t="n"/>
    </row>
    <row r="45">
      <c r="A45" s="39" t="n"/>
    </row>
    <row r="46">
      <c r="A46" s="39" t="n"/>
    </row>
    <row r="47">
      <c r="A47" s="39" t="n"/>
    </row>
    <row r="48">
      <c r="A48" s="39" t="n"/>
    </row>
    <row r="49">
      <c r="A49" s="39" t="n"/>
    </row>
    <row r="50">
      <c r="A50" s="39" t="n"/>
    </row>
    <row r="51">
      <c r="A51" s="39" t="n"/>
    </row>
    <row r="52">
      <c r="A52" s="39" t="n"/>
    </row>
    <row r="53">
      <c r="A53" s="39" t="n"/>
    </row>
    <row r="54">
      <c r="A54" s="39" t="n"/>
    </row>
    <row r="55">
      <c r="A55" s="39" t="n"/>
    </row>
    <row r="56">
      <c r="A56" s="39" t="n"/>
    </row>
    <row r="57">
      <c r="A57" s="39" t="n"/>
    </row>
    <row r="58">
      <c r="A58" s="39" t="n"/>
    </row>
    <row r="59">
      <c r="A59" s="39" t="n"/>
    </row>
    <row r="60">
      <c r="A60" s="39" t="n"/>
    </row>
    <row r="61">
      <c r="A61" s="39" t="n"/>
    </row>
    <row r="62">
      <c r="A62" s="39" t="n"/>
    </row>
    <row r="63">
      <c r="A63" s="39" t="n"/>
    </row>
    <row r="64">
      <c r="A64" s="39" t="n"/>
    </row>
    <row r="65">
      <c r="A65" s="39" t="n"/>
    </row>
    <row r="66">
      <c r="A66" s="39" t="n"/>
    </row>
    <row r="67">
      <c r="A67" s="39" t="n"/>
    </row>
    <row r="68">
      <c r="A68" s="39" t="n"/>
    </row>
    <row r="69">
      <c r="A69" s="39" t="n"/>
    </row>
    <row r="70">
      <c r="A70" s="39" t="n"/>
    </row>
    <row r="71">
      <c r="A71" s="39" t="n"/>
    </row>
    <row r="72">
      <c r="A72" s="39" t="n"/>
    </row>
    <row r="73">
      <c r="A73" s="39" t="n"/>
    </row>
    <row r="74">
      <c r="A74" s="39" t="n"/>
    </row>
    <row r="75">
      <c r="A75" s="39" t="n"/>
    </row>
    <row r="76">
      <c r="A76" s="39" t="n"/>
    </row>
    <row r="77">
      <c r="A77" s="39" t="n"/>
    </row>
    <row r="78">
      <c r="A78" s="39" t="n"/>
    </row>
    <row r="79">
      <c r="A79" s="39" t="n"/>
    </row>
    <row r="80">
      <c r="A80" s="39" t="n"/>
    </row>
    <row r="81">
      <c r="A81" s="39" t="n"/>
    </row>
    <row r="82">
      <c r="A82" s="39" t="n"/>
    </row>
    <row r="83">
      <c r="A83" s="39" t="n"/>
    </row>
    <row r="84">
      <c r="A84" s="39" t="n"/>
    </row>
    <row r="85">
      <c r="A85" s="39" t="n"/>
    </row>
    <row r="86">
      <c r="A86" s="39" t="n"/>
    </row>
    <row r="87">
      <c r="A87" s="39" t="n"/>
    </row>
    <row r="88">
      <c r="A88" s="39" t="n"/>
    </row>
    <row r="89">
      <c r="A89" s="39" t="n"/>
    </row>
    <row r="90">
      <c r="A90" s="39" t="n"/>
    </row>
    <row r="91">
      <c r="A91" s="39" t="n"/>
    </row>
    <row r="92">
      <c r="A92" s="39" t="n"/>
    </row>
    <row r="93">
      <c r="A93" s="39" t="n"/>
    </row>
    <row r="94">
      <c r="A94" s="39" t="n"/>
    </row>
    <row r="95">
      <c r="A95" s="39" t="n"/>
    </row>
    <row r="96">
      <c r="A96" s="39" t="n"/>
    </row>
    <row r="97">
      <c r="A97" s="39" t="n"/>
    </row>
    <row r="98">
      <c r="A98" s="39" t="n"/>
    </row>
    <row r="99">
      <c r="A99" s="39" t="n"/>
    </row>
    <row r="100">
      <c r="A100" s="39" t="n"/>
    </row>
    <row r="101">
      <c r="A101" s="39" t="n"/>
    </row>
    <row r="102">
      <c r="A102" s="39" t="n"/>
    </row>
    <row r="103">
      <c r="A103" s="39" t="n"/>
    </row>
    <row r="104">
      <c r="A104" s="39" t="n"/>
    </row>
    <row r="105">
      <c r="A105" s="39" t="n"/>
    </row>
    <row r="106">
      <c r="A106" s="39" t="n"/>
    </row>
    <row r="107">
      <c r="A107" s="39" t="n"/>
    </row>
    <row r="108">
      <c r="A108" s="39" t="n"/>
    </row>
    <row r="109">
      <c r="A109" s="39" t="n"/>
    </row>
    <row r="110">
      <c r="A110" s="39" t="n"/>
    </row>
    <row r="111">
      <c r="A111" s="39" t="n"/>
    </row>
    <row r="112">
      <c r="A112" s="39" t="n"/>
    </row>
    <row r="113">
      <c r="A113" s="39" t="n"/>
    </row>
    <row r="114">
      <c r="A114" s="39" t="n"/>
    </row>
    <row r="115">
      <c r="A115" s="39" t="n"/>
    </row>
    <row r="116">
      <c r="A116" s="39" t="n"/>
    </row>
    <row r="117">
      <c r="A117" s="39" t="n"/>
    </row>
    <row r="118">
      <c r="A118" s="39" t="n"/>
    </row>
    <row r="119">
      <c r="A119" s="39" t="n"/>
    </row>
    <row r="120">
      <c r="A120" s="39" t="n"/>
    </row>
    <row r="121">
      <c r="A121" s="39" t="n"/>
    </row>
    <row r="122">
      <c r="A122" s="39" t="n"/>
    </row>
    <row r="123">
      <c r="A123" s="39" t="n"/>
    </row>
    <row r="124">
      <c r="A124" s="39" t="n"/>
    </row>
    <row r="125">
      <c r="A125" s="39" t="n"/>
    </row>
    <row r="126">
      <c r="A126" s="39" t="n"/>
    </row>
    <row r="127">
      <c r="A127" s="39" t="n"/>
    </row>
    <row r="128">
      <c r="A128" s="39" t="n"/>
    </row>
    <row r="129">
      <c r="A129" s="39" t="n"/>
    </row>
    <row r="130">
      <c r="A130" s="39" t="n"/>
    </row>
    <row r="131">
      <c r="A131" s="39" t="n"/>
    </row>
    <row r="132">
      <c r="A132" s="39" t="n"/>
    </row>
    <row r="133">
      <c r="A133" s="39" t="n"/>
    </row>
    <row r="134">
      <c r="A134" s="39" t="n"/>
    </row>
    <row r="135">
      <c r="A135" s="39" t="n"/>
    </row>
    <row r="136">
      <c r="A136" s="39" t="n"/>
    </row>
    <row r="137">
      <c r="A137" s="39" t="n"/>
    </row>
    <row r="138">
      <c r="A138" s="39" t="n"/>
    </row>
    <row r="139">
      <c r="A139" s="39" t="n"/>
    </row>
    <row r="140">
      <c r="A140" s="39" t="n"/>
    </row>
    <row r="141">
      <c r="A141" s="39" t="n"/>
    </row>
    <row r="142">
      <c r="A142" s="39" t="n"/>
    </row>
    <row r="143">
      <c r="A143" s="39" t="n"/>
    </row>
    <row r="144">
      <c r="A144" s="39" t="n"/>
    </row>
    <row r="145">
      <c r="A145" s="39" t="n"/>
    </row>
    <row r="146">
      <c r="A146" s="39" t="n"/>
    </row>
    <row r="147">
      <c r="A147" s="39" t="n"/>
    </row>
    <row r="148">
      <c r="A148" s="39" t="n"/>
    </row>
    <row r="149">
      <c r="A149" s="39" t="n"/>
    </row>
    <row r="150">
      <c r="A150" s="39" t="n"/>
    </row>
    <row r="151">
      <c r="A151" s="39" t="n"/>
    </row>
    <row r="152">
      <c r="A152" s="39" t="n"/>
    </row>
    <row r="153">
      <c r="A153" s="39" t="n"/>
    </row>
    <row r="154">
      <c r="A154" s="39" t="n"/>
    </row>
    <row r="155">
      <c r="A155" s="39" t="n"/>
    </row>
    <row r="156">
      <c r="A156" s="39" t="n"/>
    </row>
    <row r="157">
      <c r="A157" s="39" t="n"/>
    </row>
    <row r="158">
      <c r="A158" s="39" t="n"/>
    </row>
    <row r="159">
      <c r="A159" s="39" t="n"/>
    </row>
    <row r="160">
      <c r="A160" s="39" t="n"/>
    </row>
    <row r="161">
      <c r="A161" s="39" t="n"/>
    </row>
    <row r="162">
      <c r="A162" s="39" t="n"/>
    </row>
    <row r="163">
      <c r="A163" s="39" t="n"/>
    </row>
    <row r="164">
      <c r="A164" s="39" t="n"/>
    </row>
    <row r="165">
      <c r="A165" s="39" t="n"/>
    </row>
    <row r="166">
      <c r="A166" s="39" t="n"/>
    </row>
    <row r="167">
      <c r="A167" s="39" t="n"/>
    </row>
    <row r="168">
      <c r="A168" s="39" t="n"/>
    </row>
    <row r="169">
      <c r="A169" s="39" t="n"/>
    </row>
    <row r="170">
      <c r="A170" s="39" t="n"/>
    </row>
    <row r="171">
      <c r="A171" s="39" t="n"/>
    </row>
    <row r="172">
      <c r="A172" s="39" t="n"/>
    </row>
    <row r="173">
      <c r="A173" s="39" t="n"/>
    </row>
    <row r="174">
      <c r="A174" s="39" t="n"/>
    </row>
    <row r="175">
      <c r="A175" s="39" t="n"/>
    </row>
    <row r="176">
      <c r="A176" s="39" t="n"/>
    </row>
    <row r="177">
      <c r="A177" s="39" t="n"/>
    </row>
    <row r="178">
      <c r="A178" s="39" t="n"/>
    </row>
    <row r="179">
      <c r="A179" s="39" t="n"/>
    </row>
    <row r="180">
      <c r="A180" s="39" t="n"/>
    </row>
    <row r="181">
      <c r="A181" s="39" t="n"/>
    </row>
    <row r="182">
      <c r="A182" s="39" t="n"/>
    </row>
    <row r="183">
      <c r="A183" s="39" t="n"/>
    </row>
    <row r="184">
      <c r="A184" s="39" t="n"/>
    </row>
    <row r="185">
      <c r="A185" s="39" t="n"/>
    </row>
    <row r="186">
      <c r="A186" s="39" t="n"/>
    </row>
    <row r="187">
      <c r="A187" s="39" t="n"/>
    </row>
    <row r="188">
      <c r="A188" s="39" t="n"/>
    </row>
    <row r="189">
      <c r="A189" s="39" t="n"/>
    </row>
    <row r="190">
      <c r="A190" s="39" t="n"/>
    </row>
    <row r="191">
      <c r="A191" s="39" t="n"/>
    </row>
    <row r="192">
      <c r="A192" s="39" t="n"/>
    </row>
    <row r="193">
      <c r="A193" s="39" t="n"/>
    </row>
    <row r="194">
      <c r="A194" s="39" t="n"/>
    </row>
    <row r="195">
      <c r="A195" s="39" t="n"/>
    </row>
    <row r="196">
      <c r="A196" s="39" t="n"/>
    </row>
    <row r="197">
      <c r="A197" s="39" t="n"/>
    </row>
    <row r="198">
      <c r="A198" s="39" t="n"/>
    </row>
    <row r="199">
      <c r="A199" s="39" t="n"/>
    </row>
    <row r="200">
      <c r="A200" s="39" t="n"/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</cols>
  <sheetData>
    <row r="1">
      <c r="A1" s="35" t="inlineStr">
        <is>
          <t>Lieux — France &amp; Europe</t>
        </is>
      </c>
    </row>
    <row r="2">
      <c r="A2" s="36" t="inlineStr">
        <is>
          <t>Ville</t>
        </is>
      </c>
      <c r="B2" s="36" t="inlineStr">
        <is>
          <t>Pays</t>
        </is>
      </c>
      <c r="C2" s="36" t="inlineStr">
        <is>
          <t>Libellé (menu Départ / Arrivée)</t>
        </is>
      </c>
    </row>
    <row r="3">
      <c r="A3" s="40" t="inlineStr">
        <is>
          <t>Berlin</t>
        </is>
      </c>
      <c r="B3" s="40" t="inlineStr">
        <is>
          <t>Allemagne</t>
        </is>
      </c>
      <c r="C3" s="40">
        <f>A3&amp;" · "&amp;B3</f>
        <v/>
      </c>
    </row>
    <row r="4">
      <c r="A4" s="40" t="inlineStr">
        <is>
          <t>Cologne</t>
        </is>
      </c>
      <c r="B4" s="40" t="inlineStr">
        <is>
          <t>Allemagne</t>
        </is>
      </c>
      <c r="C4" s="40">
        <f>A4&amp;" · "&amp;B4</f>
        <v/>
      </c>
    </row>
    <row r="5">
      <c r="A5" s="40" t="inlineStr">
        <is>
          <t>Düsseldorf</t>
        </is>
      </c>
      <c r="B5" s="40" t="inlineStr">
        <is>
          <t>Allemagne</t>
        </is>
      </c>
      <c r="C5" s="40">
        <f>A5&amp;" · "&amp;B5</f>
        <v/>
      </c>
    </row>
    <row r="6">
      <c r="A6" s="40" t="inlineStr">
        <is>
          <t>Francfort</t>
        </is>
      </c>
      <c r="B6" s="40" t="inlineStr">
        <is>
          <t>Allemagne</t>
        </is>
      </c>
      <c r="C6" s="40">
        <f>A6&amp;" · "&amp;B6</f>
        <v/>
      </c>
    </row>
    <row r="7">
      <c r="A7" s="40" t="inlineStr">
        <is>
          <t>Fribourg</t>
        </is>
      </c>
      <c r="B7" s="40" t="inlineStr">
        <is>
          <t>Allemagne</t>
        </is>
      </c>
      <c r="C7" s="40">
        <f>A7&amp;" · "&amp;B7</f>
        <v/>
      </c>
    </row>
    <row r="8">
      <c r="A8" s="40" t="inlineStr">
        <is>
          <t>Hambourg</t>
        </is>
      </c>
      <c r="B8" s="40" t="inlineStr">
        <is>
          <t>Allemagne</t>
        </is>
      </c>
      <c r="C8" s="40">
        <f>A8&amp;" · "&amp;B8</f>
        <v/>
      </c>
    </row>
    <row r="9">
      <c r="A9" s="40" t="inlineStr">
        <is>
          <t>Munich</t>
        </is>
      </c>
      <c r="B9" s="40" t="inlineStr">
        <is>
          <t>Allemagne</t>
        </is>
      </c>
      <c r="C9" s="40">
        <f>A9&amp;" · "&amp;B9</f>
        <v/>
      </c>
    </row>
    <row r="10">
      <c r="A10" s="40" t="inlineStr">
        <is>
          <t>Sarrebruck</t>
        </is>
      </c>
      <c r="B10" s="40" t="inlineStr">
        <is>
          <t>Allemagne</t>
        </is>
      </c>
      <c r="C10" s="40">
        <f>A10&amp;" · "&amp;B10</f>
        <v/>
      </c>
    </row>
    <row r="11">
      <c r="A11" s="40" t="inlineStr">
        <is>
          <t>Stuttgart</t>
        </is>
      </c>
      <c r="B11" s="40" t="inlineStr">
        <is>
          <t>Allemagne</t>
        </is>
      </c>
      <c r="C11" s="40">
        <f>A11&amp;" · "&amp;B11</f>
        <v/>
      </c>
    </row>
    <row r="12">
      <c r="A12" s="40" t="inlineStr">
        <is>
          <t>Salzbourg</t>
        </is>
      </c>
      <c r="B12" s="40" t="inlineStr">
        <is>
          <t>Autriche</t>
        </is>
      </c>
      <c r="C12" s="40">
        <f>A12&amp;" · "&amp;B12</f>
        <v/>
      </c>
    </row>
    <row r="13">
      <c r="A13" s="40" t="inlineStr">
        <is>
          <t>Vienne</t>
        </is>
      </c>
      <c r="B13" s="40" t="inlineStr">
        <is>
          <t>Autriche</t>
        </is>
      </c>
      <c r="C13" s="40">
        <f>A13&amp;" · "&amp;B13</f>
        <v/>
      </c>
    </row>
    <row r="14">
      <c r="A14" s="40" t="inlineStr">
        <is>
          <t>Anvers</t>
        </is>
      </c>
      <c r="B14" s="40" t="inlineStr">
        <is>
          <t>Belgique</t>
        </is>
      </c>
      <c r="C14" s="40">
        <f>A14&amp;" · "&amp;B14</f>
        <v/>
      </c>
    </row>
    <row r="15">
      <c r="A15" s="40" t="inlineStr">
        <is>
          <t>Bruxelles</t>
        </is>
      </c>
      <c r="B15" s="40" t="inlineStr">
        <is>
          <t>Belgique</t>
        </is>
      </c>
      <c r="C15" s="40">
        <f>A15&amp;" · "&amp;B15</f>
        <v/>
      </c>
    </row>
    <row r="16">
      <c r="A16" s="40" t="inlineStr">
        <is>
          <t>Charleroi</t>
        </is>
      </c>
      <c r="B16" s="40" t="inlineStr">
        <is>
          <t>Belgique</t>
        </is>
      </c>
      <c r="C16" s="40">
        <f>A16&amp;" · "&amp;B16</f>
        <v/>
      </c>
    </row>
    <row r="17">
      <c r="A17" s="40" t="inlineStr">
        <is>
          <t>Gand</t>
        </is>
      </c>
      <c r="B17" s="40" t="inlineStr">
        <is>
          <t>Belgique</t>
        </is>
      </c>
      <c r="C17" s="40">
        <f>A17&amp;" · "&amp;B17</f>
        <v/>
      </c>
    </row>
    <row r="18">
      <c r="A18" s="40" t="inlineStr">
        <is>
          <t>Liège</t>
        </is>
      </c>
      <c r="B18" s="40" t="inlineStr">
        <is>
          <t>Belgique</t>
        </is>
      </c>
      <c r="C18" s="40">
        <f>A18&amp;" · "&amp;B18</f>
        <v/>
      </c>
    </row>
    <row r="19">
      <c r="A19" s="40" t="inlineStr">
        <is>
          <t>Copenhague</t>
        </is>
      </c>
      <c r="B19" s="40" t="inlineStr">
        <is>
          <t>Danemark</t>
        </is>
      </c>
      <c r="C19" s="40">
        <f>A19&amp;" · "&amp;B19</f>
        <v/>
      </c>
    </row>
    <row r="20">
      <c r="A20" s="40" t="inlineStr">
        <is>
          <t>Barcelone</t>
        </is>
      </c>
      <c r="B20" s="40" t="inlineStr">
        <is>
          <t>Espagne</t>
        </is>
      </c>
      <c r="C20" s="40">
        <f>A20&amp;" · "&amp;B20</f>
        <v/>
      </c>
    </row>
    <row r="21">
      <c r="A21" s="40" t="inlineStr">
        <is>
          <t>Bilbao</t>
        </is>
      </c>
      <c r="B21" s="40" t="inlineStr">
        <is>
          <t>Espagne</t>
        </is>
      </c>
      <c r="C21" s="40">
        <f>A21&amp;" · "&amp;B21</f>
        <v/>
      </c>
    </row>
    <row r="22">
      <c r="A22" s="40" t="inlineStr">
        <is>
          <t>Madrid</t>
        </is>
      </c>
      <c r="B22" s="40" t="inlineStr">
        <is>
          <t>Espagne</t>
        </is>
      </c>
      <c r="C22" s="40">
        <f>A22&amp;" · "&amp;B22</f>
        <v/>
      </c>
    </row>
    <row r="23">
      <c r="A23" s="40" t="inlineStr">
        <is>
          <t>Saragosse</t>
        </is>
      </c>
      <c r="B23" s="40" t="inlineStr">
        <is>
          <t>Espagne</t>
        </is>
      </c>
      <c r="C23" s="40">
        <f>A23&amp;" · "&amp;B23</f>
        <v/>
      </c>
    </row>
    <row r="24">
      <c r="A24" s="40" t="inlineStr">
        <is>
          <t>Séville</t>
        </is>
      </c>
      <c r="B24" s="40" t="inlineStr">
        <is>
          <t>Espagne</t>
        </is>
      </c>
      <c r="C24" s="40">
        <f>A24&amp;" · "&amp;B24</f>
        <v/>
      </c>
    </row>
    <row r="25">
      <c r="A25" s="40" t="inlineStr">
        <is>
          <t>Valence</t>
        </is>
      </c>
      <c r="B25" s="40" t="inlineStr">
        <is>
          <t>Espagne</t>
        </is>
      </c>
      <c r="C25" s="40">
        <f>A25&amp;" · "&amp;B25</f>
        <v/>
      </c>
    </row>
    <row r="26">
      <c r="A26" s="40" t="inlineStr">
        <is>
          <t>Aix-en-Provence</t>
        </is>
      </c>
      <c r="B26" s="40" t="inlineStr">
        <is>
          <t>France</t>
        </is>
      </c>
      <c r="C26" s="40">
        <f>A26&amp;" · "&amp;B26</f>
        <v/>
      </c>
    </row>
    <row r="27">
      <c r="A27" s="40" t="inlineStr">
        <is>
          <t>Amiens</t>
        </is>
      </c>
      <c r="B27" s="40" t="inlineStr">
        <is>
          <t>France</t>
        </is>
      </c>
      <c r="C27" s="40">
        <f>A27&amp;" · "&amp;B27</f>
        <v/>
      </c>
    </row>
    <row r="28">
      <c r="A28" s="40" t="inlineStr">
        <is>
          <t>Angers</t>
        </is>
      </c>
      <c r="B28" s="40" t="inlineStr">
        <is>
          <t>France</t>
        </is>
      </c>
      <c r="C28" s="40">
        <f>A28&amp;" · "&amp;B28</f>
        <v/>
      </c>
    </row>
    <row r="29">
      <c r="A29" s="40" t="inlineStr">
        <is>
          <t>Annecy</t>
        </is>
      </c>
      <c r="B29" s="40" t="inlineStr">
        <is>
          <t>France</t>
        </is>
      </c>
      <c r="C29" s="40">
        <f>A29&amp;" · "&amp;B29</f>
        <v/>
      </c>
    </row>
    <row r="30">
      <c r="A30" s="40" t="inlineStr">
        <is>
          <t>Avignon</t>
        </is>
      </c>
      <c r="B30" s="40" t="inlineStr">
        <is>
          <t>France</t>
        </is>
      </c>
      <c r="C30" s="40">
        <f>A30&amp;" · "&amp;B30</f>
        <v/>
      </c>
    </row>
    <row r="31">
      <c r="A31" s="40" t="inlineStr">
        <is>
          <t>Bayonne</t>
        </is>
      </c>
      <c r="B31" s="40" t="inlineStr">
        <is>
          <t>France</t>
        </is>
      </c>
      <c r="C31" s="40">
        <f>A31&amp;" · "&amp;B31</f>
        <v/>
      </c>
    </row>
    <row r="32">
      <c r="A32" s="40" t="inlineStr">
        <is>
          <t>Besançon</t>
        </is>
      </c>
      <c r="B32" s="40" t="inlineStr">
        <is>
          <t>France</t>
        </is>
      </c>
      <c r="C32" s="40">
        <f>A32&amp;" · "&amp;B32</f>
        <v/>
      </c>
    </row>
    <row r="33">
      <c r="A33" s="40" t="inlineStr">
        <is>
          <t>Bordeaux</t>
        </is>
      </c>
      <c r="B33" s="40" t="inlineStr">
        <is>
          <t>France</t>
        </is>
      </c>
      <c r="C33" s="40">
        <f>A33&amp;" · "&amp;B33</f>
        <v/>
      </c>
    </row>
    <row r="34">
      <c r="A34" s="40" t="inlineStr">
        <is>
          <t>Brest</t>
        </is>
      </c>
      <c r="B34" s="40" t="inlineStr">
        <is>
          <t>France</t>
        </is>
      </c>
      <c r="C34" s="40">
        <f>A34&amp;" · "&amp;B34</f>
        <v/>
      </c>
    </row>
    <row r="35">
      <c r="A35" s="40" t="inlineStr">
        <is>
          <t>Caen</t>
        </is>
      </c>
      <c r="B35" s="40" t="inlineStr">
        <is>
          <t>France</t>
        </is>
      </c>
      <c r="C35" s="40">
        <f>A35&amp;" · "&amp;B35</f>
        <v/>
      </c>
    </row>
    <row r="36">
      <c r="A36" s="40" t="inlineStr">
        <is>
          <t>Calais</t>
        </is>
      </c>
      <c r="B36" s="40" t="inlineStr">
        <is>
          <t>France</t>
        </is>
      </c>
      <c r="C36" s="40">
        <f>A36&amp;" · "&amp;B36</f>
        <v/>
      </c>
    </row>
    <row r="37">
      <c r="A37" s="40" t="inlineStr">
        <is>
          <t>Cannes</t>
        </is>
      </c>
      <c r="B37" s="40" t="inlineStr">
        <is>
          <t>France</t>
        </is>
      </c>
      <c r="C37" s="40">
        <f>A37&amp;" · "&amp;B37</f>
        <v/>
      </c>
    </row>
    <row r="38">
      <c r="A38" s="40" t="inlineStr">
        <is>
          <t>Chambéry</t>
        </is>
      </c>
      <c r="B38" s="40" t="inlineStr">
        <is>
          <t>France</t>
        </is>
      </c>
      <c r="C38" s="40">
        <f>A38&amp;" · "&amp;B38</f>
        <v/>
      </c>
    </row>
    <row r="39">
      <c r="A39" s="40" t="inlineStr">
        <is>
          <t>Clermont-Ferrand</t>
        </is>
      </c>
      <c r="B39" s="40" t="inlineStr">
        <is>
          <t>France</t>
        </is>
      </c>
      <c r="C39" s="40">
        <f>A39&amp;" · "&amp;B39</f>
        <v/>
      </c>
    </row>
    <row r="40">
      <c r="A40" s="40" t="inlineStr">
        <is>
          <t>Colmar</t>
        </is>
      </c>
      <c r="B40" s="40" t="inlineStr">
        <is>
          <t>France</t>
        </is>
      </c>
      <c r="C40" s="40">
        <f>A40&amp;" · "&amp;B40</f>
        <v/>
      </c>
    </row>
    <row r="41">
      <c r="A41" s="40" t="inlineStr">
        <is>
          <t>Dijon</t>
        </is>
      </c>
      <c r="B41" s="40" t="inlineStr">
        <is>
          <t>France</t>
        </is>
      </c>
      <c r="C41" s="40">
        <f>A41&amp;" · "&amp;B41</f>
        <v/>
      </c>
    </row>
    <row r="42">
      <c r="A42" s="40" t="inlineStr">
        <is>
          <t>Dunkerque</t>
        </is>
      </c>
      <c r="B42" s="40" t="inlineStr">
        <is>
          <t>France</t>
        </is>
      </c>
      <c r="C42" s="40">
        <f>A42&amp;" · "&amp;B42</f>
        <v/>
      </c>
    </row>
    <row r="43">
      <c r="A43" s="40" t="inlineStr">
        <is>
          <t>Grenoble</t>
        </is>
      </c>
      <c r="B43" s="40" t="inlineStr">
        <is>
          <t>France</t>
        </is>
      </c>
      <c r="C43" s="40">
        <f>A43&amp;" · "&amp;B43</f>
        <v/>
      </c>
    </row>
    <row r="44">
      <c r="A44" s="40" t="inlineStr">
        <is>
          <t>La Rochelle</t>
        </is>
      </c>
      <c r="B44" s="40" t="inlineStr">
        <is>
          <t>France</t>
        </is>
      </c>
      <c r="C44" s="40">
        <f>A44&amp;" · "&amp;B44</f>
        <v/>
      </c>
    </row>
    <row r="45">
      <c r="A45" s="40" t="inlineStr">
        <is>
          <t>Le Havre</t>
        </is>
      </c>
      <c r="B45" s="40" t="inlineStr">
        <is>
          <t>France</t>
        </is>
      </c>
      <c r="C45" s="40">
        <f>A45&amp;" · "&amp;B45</f>
        <v/>
      </c>
    </row>
    <row r="46">
      <c r="A46" s="40" t="inlineStr">
        <is>
          <t>Le Mans</t>
        </is>
      </c>
      <c r="B46" s="40" t="inlineStr">
        <is>
          <t>France</t>
        </is>
      </c>
      <c r="C46" s="40">
        <f>A46&amp;" · "&amp;B46</f>
        <v/>
      </c>
    </row>
    <row r="47">
      <c r="A47" s="40" t="inlineStr">
        <is>
          <t>Lille</t>
        </is>
      </c>
      <c r="B47" s="40" t="inlineStr">
        <is>
          <t>France</t>
        </is>
      </c>
      <c r="C47" s="40">
        <f>A47&amp;" · "&amp;B47</f>
        <v/>
      </c>
    </row>
    <row r="48">
      <c r="A48" s="40" t="inlineStr">
        <is>
          <t>Limoges</t>
        </is>
      </c>
      <c r="B48" s="40" t="inlineStr">
        <is>
          <t>France</t>
        </is>
      </c>
      <c r="C48" s="40">
        <f>A48&amp;" · "&amp;B48</f>
        <v/>
      </c>
    </row>
    <row r="49">
      <c r="A49" s="40" t="inlineStr">
        <is>
          <t>Lorient</t>
        </is>
      </c>
      <c r="B49" s="40" t="inlineStr">
        <is>
          <t>France</t>
        </is>
      </c>
      <c r="C49" s="40">
        <f>A49&amp;" · "&amp;B49</f>
        <v/>
      </c>
    </row>
    <row r="50">
      <c r="A50" s="40" t="inlineStr">
        <is>
          <t>Lyon</t>
        </is>
      </c>
      <c r="B50" s="40" t="inlineStr">
        <is>
          <t>France</t>
        </is>
      </c>
      <c r="C50" s="40">
        <f>A50&amp;" · "&amp;B50</f>
        <v/>
      </c>
    </row>
    <row r="51">
      <c r="A51" s="40" t="inlineStr">
        <is>
          <t>Marseille</t>
        </is>
      </c>
      <c r="B51" s="40" t="inlineStr">
        <is>
          <t>France</t>
        </is>
      </c>
      <c r="C51" s="40">
        <f>A51&amp;" · "&amp;B51</f>
        <v/>
      </c>
    </row>
    <row r="52">
      <c r="A52" s="40" t="inlineStr">
        <is>
          <t>Metz</t>
        </is>
      </c>
      <c r="B52" s="40" t="inlineStr">
        <is>
          <t>France</t>
        </is>
      </c>
      <c r="C52" s="40">
        <f>A52&amp;" · "&amp;B52</f>
        <v/>
      </c>
    </row>
    <row r="53">
      <c r="A53" s="40" t="inlineStr">
        <is>
          <t>Montpellier</t>
        </is>
      </c>
      <c r="B53" s="40" t="inlineStr">
        <is>
          <t>France</t>
        </is>
      </c>
      <c r="C53" s="40">
        <f>A53&amp;" · "&amp;B53</f>
        <v/>
      </c>
    </row>
    <row r="54">
      <c r="A54" s="40" t="inlineStr">
        <is>
          <t>Mulhouse</t>
        </is>
      </c>
      <c r="B54" s="40" t="inlineStr">
        <is>
          <t>France</t>
        </is>
      </c>
      <c r="C54" s="40">
        <f>A54&amp;" · "&amp;B54</f>
        <v/>
      </c>
    </row>
    <row r="55">
      <c r="A55" s="40" t="inlineStr">
        <is>
          <t>Nancy</t>
        </is>
      </c>
      <c r="B55" s="40" t="inlineStr">
        <is>
          <t>France</t>
        </is>
      </c>
      <c r="C55" s="40">
        <f>A55&amp;" · "&amp;B55</f>
        <v/>
      </c>
    </row>
    <row r="56">
      <c r="A56" s="40" t="inlineStr">
        <is>
          <t>Nantes</t>
        </is>
      </c>
      <c r="B56" s="40" t="inlineStr">
        <is>
          <t>France</t>
        </is>
      </c>
      <c r="C56" s="40">
        <f>A56&amp;" · "&amp;B56</f>
        <v/>
      </c>
    </row>
    <row r="57">
      <c r="A57" s="40" t="inlineStr">
        <is>
          <t>Nice</t>
        </is>
      </c>
      <c r="B57" s="40" t="inlineStr">
        <is>
          <t>France</t>
        </is>
      </c>
      <c r="C57" s="40">
        <f>A57&amp;" · "&amp;B57</f>
        <v/>
      </c>
    </row>
    <row r="58">
      <c r="A58" s="40" t="inlineStr">
        <is>
          <t>Nîmes</t>
        </is>
      </c>
      <c r="B58" s="40" t="inlineStr">
        <is>
          <t>France</t>
        </is>
      </c>
      <c r="C58" s="40">
        <f>A58&amp;" · "&amp;B58</f>
        <v/>
      </c>
    </row>
    <row r="59">
      <c r="A59" s="40" t="inlineStr">
        <is>
          <t>Orléans</t>
        </is>
      </c>
      <c r="B59" s="40" t="inlineStr">
        <is>
          <t>France</t>
        </is>
      </c>
      <c r="C59" s="40">
        <f>A59&amp;" · "&amp;B59</f>
        <v/>
      </c>
    </row>
    <row r="60">
      <c r="A60" s="40" t="inlineStr">
        <is>
          <t>Paris</t>
        </is>
      </c>
      <c r="B60" s="40" t="inlineStr">
        <is>
          <t>France</t>
        </is>
      </c>
      <c r="C60" s="40">
        <f>A60&amp;" · "&amp;B60</f>
        <v/>
      </c>
    </row>
    <row r="61">
      <c r="A61" s="40" t="inlineStr">
        <is>
          <t>Pau</t>
        </is>
      </c>
      <c r="B61" s="40" t="inlineStr">
        <is>
          <t>France</t>
        </is>
      </c>
      <c r="C61" s="40">
        <f>A61&amp;" · "&amp;B61</f>
        <v/>
      </c>
    </row>
    <row r="62">
      <c r="A62" s="40" t="inlineStr">
        <is>
          <t>Perpignan</t>
        </is>
      </c>
      <c r="B62" s="40" t="inlineStr">
        <is>
          <t>France</t>
        </is>
      </c>
      <c r="C62" s="40">
        <f>A62&amp;" · "&amp;B62</f>
        <v/>
      </c>
    </row>
    <row r="63">
      <c r="A63" s="40" t="inlineStr">
        <is>
          <t>Poitiers</t>
        </is>
      </c>
      <c r="B63" s="40" t="inlineStr">
        <is>
          <t>France</t>
        </is>
      </c>
      <c r="C63" s="40">
        <f>A63&amp;" · "&amp;B63</f>
        <v/>
      </c>
    </row>
    <row r="64">
      <c r="A64" s="40" t="inlineStr">
        <is>
          <t>Reims</t>
        </is>
      </c>
      <c r="B64" s="40" t="inlineStr">
        <is>
          <t>France</t>
        </is>
      </c>
      <c r="C64" s="40">
        <f>A64&amp;" · "&amp;B64</f>
        <v/>
      </c>
    </row>
    <row r="65">
      <c r="A65" s="40" t="inlineStr">
        <is>
          <t>Rennes</t>
        </is>
      </c>
      <c r="B65" s="40" t="inlineStr">
        <is>
          <t>France</t>
        </is>
      </c>
      <c r="C65" s="40">
        <f>A65&amp;" · "&amp;B65</f>
        <v/>
      </c>
    </row>
    <row r="66">
      <c r="A66" s="40" t="inlineStr">
        <is>
          <t>Rouen</t>
        </is>
      </c>
      <c r="B66" s="40" t="inlineStr">
        <is>
          <t>France</t>
        </is>
      </c>
      <c r="C66" s="40">
        <f>A66&amp;" · "&amp;B66</f>
        <v/>
      </c>
    </row>
    <row r="67">
      <c r="A67" s="40" t="inlineStr">
        <is>
          <t>Saint-Étienne</t>
        </is>
      </c>
      <c r="B67" s="40" t="inlineStr">
        <is>
          <t>France</t>
        </is>
      </c>
      <c r="C67" s="40">
        <f>A67&amp;" · "&amp;B67</f>
        <v/>
      </c>
    </row>
    <row r="68">
      <c r="A68" s="40" t="inlineStr">
        <is>
          <t>Strasbourg</t>
        </is>
      </c>
      <c r="B68" s="40" t="inlineStr">
        <is>
          <t>France</t>
        </is>
      </c>
      <c r="C68" s="40">
        <f>A68&amp;" · "&amp;B68</f>
        <v/>
      </c>
    </row>
    <row r="69">
      <c r="A69" s="40" t="inlineStr">
        <is>
          <t>Toulon</t>
        </is>
      </c>
      <c r="B69" s="40" t="inlineStr">
        <is>
          <t>France</t>
        </is>
      </c>
      <c r="C69" s="40">
        <f>A69&amp;" · "&amp;B69</f>
        <v/>
      </c>
    </row>
    <row r="70">
      <c r="A70" s="40" t="inlineStr">
        <is>
          <t>Toulouse</t>
        </is>
      </c>
      <c r="B70" s="40" t="inlineStr">
        <is>
          <t>France</t>
        </is>
      </c>
      <c r="C70" s="40">
        <f>A70&amp;" · "&amp;B70</f>
        <v/>
      </c>
    </row>
    <row r="71">
      <c r="A71" s="40" t="inlineStr">
        <is>
          <t>Tours</t>
        </is>
      </c>
      <c r="B71" s="40" t="inlineStr">
        <is>
          <t>France</t>
        </is>
      </c>
      <c r="C71" s="40">
        <f>A71&amp;" · "&amp;B71</f>
        <v/>
      </c>
    </row>
    <row r="72">
      <c r="A72" s="40" t="inlineStr">
        <is>
          <t>Troyes</t>
        </is>
      </c>
      <c r="B72" s="40" t="inlineStr">
        <is>
          <t>France</t>
        </is>
      </c>
      <c r="C72" s="40">
        <f>A72&amp;" · "&amp;B72</f>
        <v/>
      </c>
    </row>
    <row r="73">
      <c r="A73" s="40" t="inlineStr">
        <is>
          <t>Valence</t>
        </is>
      </c>
      <c r="B73" s="40" t="inlineStr">
        <is>
          <t>France</t>
        </is>
      </c>
      <c r="C73" s="40">
        <f>A73&amp;" · "&amp;B73</f>
        <v/>
      </c>
    </row>
    <row r="74">
      <c r="A74" s="40" t="inlineStr">
        <is>
          <t>Budapest</t>
        </is>
      </c>
      <c r="B74" s="40" t="inlineStr">
        <is>
          <t>Hongrie</t>
        </is>
      </c>
      <c r="C74" s="40">
        <f>A74&amp;" · "&amp;B74</f>
        <v/>
      </c>
    </row>
    <row r="75">
      <c r="A75" s="40" t="inlineStr">
        <is>
          <t>Dublin</t>
        </is>
      </c>
      <c r="B75" s="40" t="inlineStr">
        <is>
          <t>Irlande</t>
        </is>
      </c>
      <c r="C75" s="40">
        <f>A75&amp;" · "&amp;B75</f>
        <v/>
      </c>
    </row>
    <row r="76">
      <c r="A76" s="40" t="inlineStr">
        <is>
          <t>Bologne</t>
        </is>
      </c>
      <c r="B76" s="40" t="inlineStr">
        <is>
          <t>Italie</t>
        </is>
      </c>
      <c r="C76" s="40">
        <f>A76&amp;" · "&amp;B76</f>
        <v/>
      </c>
    </row>
    <row r="77">
      <c r="A77" s="40" t="inlineStr">
        <is>
          <t>Florence</t>
        </is>
      </c>
      <c r="B77" s="40" t="inlineStr">
        <is>
          <t>Italie</t>
        </is>
      </c>
      <c r="C77" s="40">
        <f>A77&amp;" · "&amp;B77</f>
        <v/>
      </c>
    </row>
    <row r="78">
      <c r="A78" s="40" t="inlineStr">
        <is>
          <t>Gênes</t>
        </is>
      </c>
      <c r="B78" s="40" t="inlineStr">
        <is>
          <t>Italie</t>
        </is>
      </c>
      <c r="C78" s="40">
        <f>A78&amp;" · "&amp;B78</f>
        <v/>
      </c>
    </row>
    <row r="79">
      <c r="A79" s="40" t="inlineStr">
        <is>
          <t>Milan</t>
        </is>
      </c>
      <c r="B79" s="40" t="inlineStr">
        <is>
          <t>Italie</t>
        </is>
      </c>
      <c r="C79" s="40">
        <f>A79&amp;" · "&amp;B79</f>
        <v/>
      </c>
    </row>
    <row r="80">
      <c r="A80" s="40" t="inlineStr">
        <is>
          <t>Rome</t>
        </is>
      </c>
      <c r="B80" s="40" t="inlineStr">
        <is>
          <t>Italie</t>
        </is>
      </c>
      <c r="C80" s="40">
        <f>A80&amp;" · "&amp;B80</f>
        <v/>
      </c>
    </row>
    <row r="81">
      <c r="A81" s="40" t="inlineStr">
        <is>
          <t>Turin</t>
        </is>
      </c>
      <c r="B81" s="40" t="inlineStr">
        <is>
          <t>Italie</t>
        </is>
      </c>
      <c r="C81" s="40">
        <f>A81&amp;" · "&amp;B81</f>
        <v/>
      </c>
    </row>
    <row r="82">
      <c r="A82" s="40" t="inlineStr">
        <is>
          <t>Vintimille</t>
        </is>
      </c>
      <c r="B82" s="40" t="inlineStr">
        <is>
          <t>Italie</t>
        </is>
      </c>
      <c r="C82" s="40">
        <f>A82&amp;" · "&amp;B82</f>
        <v/>
      </c>
    </row>
    <row r="83">
      <c r="A83" s="40" t="inlineStr">
        <is>
          <t>Luxembourg</t>
        </is>
      </c>
      <c r="B83" s="40" t="inlineStr">
        <is>
          <t>Luxembourg</t>
        </is>
      </c>
      <c r="C83" s="40">
        <f>A83&amp;" · "&amp;B83</f>
        <v/>
      </c>
    </row>
    <row r="84">
      <c r="A84" s="40" t="inlineStr">
        <is>
          <t>Oslo</t>
        </is>
      </c>
      <c r="B84" s="40" t="inlineStr">
        <is>
          <t>Norvège</t>
        </is>
      </c>
      <c r="C84" s="40">
        <f>A84&amp;" · "&amp;B84</f>
        <v/>
      </c>
    </row>
    <row r="85">
      <c r="A85" s="40" t="inlineStr">
        <is>
          <t>Amsterdam</t>
        </is>
      </c>
      <c r="B85" s="40" t="inlineStr">
        <is>
          <t>Pays-Bas</t>
        </is>
      </c>
      <c r="C85" s="40">
        <f>A85&amp;" · "&amp;B85</f>
        <v/>
      </c>
    </row>
    <row r="86">
      <c r="A86" s="40" t="inlineStr">
        <is>
          <t>Eindhoven</t>
        </is>
      </c>
      <c r="B86" s="40" t="inlineStr">
        <is>
          <t>Pays-Bas</t>
        </is>
      </c>
      <c r="C86" s="40">
        <f>A86&amp;" · "&amp;B86</f>
        <v/>
      </c>
    </row>
    <row r="87">
      <c r="A87" s="40" t="inlineStr">
        <is>
          <t>La Haye</t>
        </is>
      </c>
      <c r="B87" s="40" t="inlineStr">
        <is>
          <t>Pays-Bas</t>
        </is>
      </c>
      <c r="C87" s="40">
        <f>A87&amp;" · "&amp;B87</f>
        <v/>
      </c>
    </row>
    <row r="88">
      <c r="A88" s="40" t="inlineStr">
        <is>
          <t>Rotterdam</t>
        </is>
      </c>
      <c r="B88" s="40" t="inlineStr">
        <is>
          <t>Pays-Bas</t>
        </is>
      </c>
      <c r="C88" s="40">
        <f>A88&amp;" · "&amp;B88</f>
        <v/>
      </c>
    </row>
    <row r="89">
      <c r="A89" s="40" t="inlineStr">
        <is>
          <t>Cracovie</t>
        </is>
      </c>
      <c r="B89" s="40" t="inlineStr">
        <is>
          <t>Pologne</t>
        </is>
      </c>
      <c r="C89" s="40">
        <f>A89&amp;" · "&amp;B89</f>
        <v/>
      </c>
    </row>
    <row r="90">
      <c r="A90" s="40" t="inlineStr">
        <is>
          <t>Varsovie</t>
        </is>
      </c>
      <c r="B90" s="40" t="inlineStr">
        <is>
          <t>Pologne</t>
        </is>
      </c>
      <c r="C90" s="40">
        <f>A90&amp;" · "&amp;B90</f>
        <v/>
      </c>
    </row>
    <row r="91">
      <c r="A91" s="40" t="inlineStr">
        <is>
          <t>Lisbonne</t>
        </is>
      </c>
      <c r="B91" s="40" t="inlineStr">
        <is>
          <t>Portugal</t>
        </is>
      </c>
      <c r="C91" s="40">
        <f>A91&amp;" · "&amp;B91</f>
        <v/>
      </c>
    </row>
    <row r="92">
      <c r="A92" s="40" t="inlineStr">
        <is>
          <t>Porto</t>
        </is>
      </c>
      <c r="B92" s="40" t="inlineStr">
        <is>
          <t>Portugal</t>
        </is>
      </c>
      <c r="C92" s="40">
        <f>A92&amp;" · "&amp;B92</f>
        <v/>
      </c>
    </row>
    <row r="93">
      <c r="A93" s="40" t="inlineStr">
        <is>
          <t>Birmingham</t>
        </is>
      </c>
      <c r="B93" s="40" t="inlineStr">
        <is>
          <t>Royaume-Uni</t>
        </is>
      </c>
      <c r="C93" s="40">
        <f>A93&amp;" · "&amp;B93</f>
        <v/>
      </c>
    </row>
    <row r="94">
      <c r="A94" s="40" t="inlineStr">
        <is>
          <t>Londres</t>
        </is>
      </c>
      <c r="B94" s="40" t="inlineStr">
        <is>
          <t>Royaume-Uni</t>
        </is>
      </c>
      <c r="C94" s="40">
        <f>A94&amp;" · "&amp;B94</f>
        <v/>
      </c>
    </row>
    <row r="95">
      <c r="A95" s="40" t="inlineStr">
        <is>
          <t>Manchester</t>
        </is>
      </c>
      <c r="B95" s="40" t="inlineStr">
        <is>
          <t>Royaume-Uni</t>
        </is>
      </c>
      <c r="C95" s="40">
        <f>A95&amp;" · "&amp;B95</f>
        <v/>
      </c>
    </row>
    <row r="96">
      <c r="A96" s="40" t="inlineStr">
        <is>
          <t>Berne</t>
        </is>
      </c>
      <c r="B96" s="40" t="inlineStr">
        <is>
          <t>Suisse</t>
        </is>
      </c>
      <c r="C96" s="40">
        <f>A96&amp;" · "&amp;B96</f>
        <v/>
      </c>
    </row>
    <row r="97">
      <c r="A97" s="40" t="inlineStr">
        <is>
          <t>Bâle</t>
        </is>
      </c>
      <c r="B97" s="40" t="inlineStr">
        <is>
          <t>Suisse</t>
        </is>
      </c>
      <c r="C97" s="40">
        <f>A97&amp;" · "&amp;B97</f>
        <v/>
      </c>
    </row>
    <row r="98">
      <c r="A98" s="40" t="inlineStr">
        <is>
          <t>Genève</t>
        </is>
      </c>
      <c r="B98" s="40" t="inlineStr">
        <is>
          <t>Suisse</t>
        </is>
      </c>
      <c r="C98" s="40">
        <f>A98&amp;" · "&amp;B98</f>
        <v/>
      </c>
    </row>
    <row r="99">
      <c r="A99" s="40" t="inlineStr">
        <is>
          <t>Lausanne</t>
        </is>
      </c>
      <c r="B99" s="40" t="inlineStr">
        <is>
          <t>Suisse</t>
        </is>
      </c>
      <c r="C99" s="40">
        <f>A99&amp;" · "&amp;B99</f>
        <v/>
      </c>
    </row>
    <row r="100">
      <c r="A100" s="40" t="inlineStr">
        <is>
          <t>Zurich</t>
        </is>
      </c>
      <c r="B100" s="40" t="inlineStr">
        <is>
          <t>Suisse</t>
        </is>
      </c>
      <c r="C100" s="40">
        <f>A100&amp;" · "&amp;B100</f>
        <v/>
      </c>
    </row>
    <row r="101">
      <c r="A101" s="40" t="inlineStr">
        <is>
          <t>Stockholm</t>
        </is>
      </c>
      <c r="B101" s="40" t="inlineStr">
        <is>
          <t>Suède</t>
        </is>
      </c>
      <c r="C101" s="40">
        <f>A101&amp;" · "&amp;B101</f>
        <v/>
      </c>
    </row>
    <row r="102">
      <c r="A102" s="40" t="inlineStr">
        <is>
          <t>Prague</t>
        </is>
      </c>
      <c r="B102" s="40" t="inlineStr">
        <is>
          <t>Tchéquie</t>
        </is>
      </c>
      <c r="C102" s="40">
        <f>A102&amp;" · "&amp;B102</f>
        <v/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34" customWidth="1" min="3" max="3"/>
  </cols>
  <sheetData>
    <row r="1">
      <c r="A1" s="35" t="inlineStr">
        <is>
          <t>Paramètres</t>
        </is>
      </c>
    </row>
    <row r="3">
      <c r="A3" s="41" t="inlineStr">
        <is>
          <t>Taux de TVA (France)</t>
        </is>
      </c>
      <c r="B3" s="42" t="n">
        <v>0.2</v>
      </c>
      <c r="C3" s="21" t="inlineStr">
        <is>
          <t>Modifiable ici — utilisé par tout le classeur.</t>
        </is>
      </c>
    </row>
    <row r="4">
      <c r="A4" s="41" t="inlineStr">
        <is>
          <t>Devise</t>
        </is>
      </c>
      <c r="B4" s="43" t="inlineStr">
        <is>
          <t>EUR (€)</t>
        </is>
      </c>
    </row>
    <row r="6">
      <c r="A6" s="44" t="inlineStr">
        <is>
          <t xml:space="preserve">  Grille des options (rappel — aligné sur l'application)</t>
        </is>
      </c>
    </row>
    <row r="7">
      <c r="A7" s="45" t="inlineStr">
        <is>
          <t>Option</t>
        </is>
      </c>
      <c r="B7" s="45" t="inlineStr">
        <is>
          <t>Tarif</t>
        </is>
      </c>
      <c r="C7" s="45" t="inlineStr">
        <is>
          <t>Détail</t>
        </is>
      </c>
    </row>
    <row r="8">
      <c r="A8" s="25" t="inlineStr">
        <is>
          <t>Express 24h</t>
        </is>
      </c>
      <c r="B8" s="46" t="inlineStr">
        <is>
          <t>+15 %</t>
        </is>
      </c>
      <c r="C8" s="47" t="inlineStr">
        <is>
          <t>Supplément sur le sous-total</t>
        </is>
      </c>
    </row>
    <row r="9">
      <c r="A9" s="25" t="inlineStr">
        <is>
          <t>Assurance Premium</t>
        </is>
      </c>
      <c r="B9" s="46" t="inlineStr">
        <is>
          <t>+29,61 €</t>
        </is>
      </c>
      <c r="C9" s="47" t="inlineStr">
        <is>
          <t>Plafond 350 000 €</t>
        </is>
      </c>
    </row>
    <row r="10">
      <c r="A10" s="25" t="inlineStr">
        <is>
          <t>Porte-à-porte</t>
        </is>
      </c>
      <c r="B10" s="46" t="inlineStr">
        <is>
          <t>Gratuit</t>
        </is>
      </c>
      <c r="C10" s="47" t="inlineStr">
        <is>
          <t>Inclus</t>
        </is>
      </c>
    </row>
    <row r="11">
      <c r="A11" s="25" t="inlineStr">
        <is>
          <t>Enlèvement weekend</t>
        </is>
      </c>
      <c r="B11" s="46" t="inlineStr">
        <is>
          <t>+60 €</t>
        </is>
      </c>
      <c r="C11" s="47" t="inlineStr">
        <is>
          <t>Forfait</t>
        </is>
      </c>
    </row>
    <row r="12">
      <c r="A12" s="25" t="inlineStr">
        <is>
          <t>Récupération colis (domicile)</t>
        </is>
      </c>
      <c r="B12" s="46" t="inlineStr">
        <is>
          <t>25 €</t>
        </is>
      </c>
      <c r="C12" s="47" t="inlineStr">
        <is>
          <t>Forfait</t>
        </is>
      </c>
    </row>
    <row r="13">
      <c r="A13" s="25" t="inlineStr">
        <is>
          <t>Enlèvement colis (point relais)</t>
        </is>
      </c>
      <c r="B13" s="46" t="inlineStr">
        <is>
          <t>5 €</t>
        </is>
      </c>
      <c r="C13" s="47" t="inlineStr">
        <is>
          <t>Forfait</t>
        </is>
      </c>
    </row>
  </sheetData>
  <mergeCells count="2">
    <mergeCell ref="A1:C1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2026-07-22T16:03:07Z</dcterms:created>
  <dcterms:modified xsi:type="dcterms:W3CDTF">2026-07-22T16:03:07Z</dcterms:modified>
</cp:coreProperties>
</file>